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ANIMAL  CITY\EXERCICE\2025\EF\"/>
    </mc:Choice>
  </mc:AlternateContent>
  <xr:revisionPtr revIDLastSave="0" documentId="13_ncr:1_{C2B60A02-AD40-437E-9FD3-CE7FF458E027}" xr6:coauthVersionLast="47" xr6:coauthVersionMax="47" xr10:uidLastSave="{00000000-0000-0000-0000-000000000000}"/>
  <bookViews>
    <workbookView xWindow="28680" yWindow="-120" windowWidth="29040" windowHeight="15840" activeTab="8" xr2:uid="{00000000-000D-0000-FFFF-FFFF00000000}"/>
  </bookViews>
  <sheets>
    <sheet name="PAGE DE GARDE 1" sheetId="46" r:id="rId1"/>
    <sheet name="PAGE DE GARDE 2" sheetId="47" r:id="rId2"/>
    <sheet name=" BALANCE 2021" sheetId="48" r:id="rId3"/>
    <sheet name="TCD" sheetId="49" r:id="rId4"/>
    <sheet name="ACTIF" sheetId="4" r:id="rId5"/>
    <sheet name="PASSIF" sheetId="5" r:id="rId6"/>
    <sheet name="RT" sheetId="6" r:id="rId7"/>
    <sheet name="FLUX" sheetId="7" r:id="rId8"/>
    <sheet name="SIG " sheetId="11" r:id="rId9"/>
    <sheet name="RESULTAT FISCAL" sheetId="44" r:id="rId10"/>
    <sheet name="TAB AMT" sheetId="45" r:id="rId11"/>
  </sheets>
  <definedNames>
    <definedName name="_xlnm._FilterDatabase" localSheetId="2" hidden="1">' BALANCE 2021'!$A$1:$O$71</definedName>
    <definedName name="_Hlk88472928" localSheetId="2">' BALANCE 2021'!$I$71</definedName>
    <definedName name="_Hlk88473137" localSheetId="2">' BALANCE 2021'!$B$84</definedName>
    <definedName name="_xlnm.Print_Area" localSheetId="4">ACTIF!$A$2:$L$59</definedName>
    <definedName name="_xlnm.Print_Area" localSheetId="7">FLUX!$B$2:$I$52</definedName>
    <definedName name="_xlnm.Print_Area" localSheetId="0">'PAGE DE GARDE 1'!$A$1:$M$57</definedName>
    <definedName name="_xlnm.Print_Area" localSheetId="1">'PAGE DE GARDE 2'!$A$1:$H$45</definedName>
    <definedName name="_xlnm.Print_Area" localSheetId="9">'RESULTAT FISCAL'!$A$1:$NB$40</definedName>
    <definedName name="_xlnm.Print_Area" localSheetId="8">'SIG '!$A$1:$G$52</definedName>
  </definedNames>
  <calcPr calcId="191029"/>
  <pivotCaches>
    <pivotCache cacheId="0" r:id="rId12"/>
  </pivotCaches>
</workbook>
</file>

<file path=xl/calcChain.xml><?xml version="1.0" encoding="utf-8"?>
<calcChain xmlns="http://schemas.openxmlformats.org/spreadsheetml/2006/main">
  <c r="G32" i="11" l="1"/>
  <c r="G37" i="11" s="1"/>
  <c r="G47" i="11" s="1"/>
  <c r="F47" i="11"/>
  <c r="F30" i="11"/>
  <c r="G24" i="11"/>
  <c r="I25" i="6"/>
  <c r="I28" i="6" s="1"/>
  <c r="I35" i="6" s="1"/>
  <c r="I39" i="6" s="1"/>
  <c r="F36" i="44"/>
  <c r="F28" i="11"/>
  <c r="G21" i="11"/>
  <c r="F21" i="11"/>
  <c r="F10" i="11"/>
  <c r="H20" i="7"/>
  <c r="J21" i="6"/>
  <c r="K21" i="6"/>
  <c r="H41" i="5"/>
  <c r="H19" i="7"/>
  <c r="H40" i="7"/>
  <c r="H28" i="7"/>
  <c r="M20" i="4"/>
  <c r="K41" i="5"/>
  <c r="K39" i="5"/>
  <c r="M19" i="4"/>
  <c r="E28" i="45"/>
  <c r="G18" i="45"/>
  <c r="E30" i="45"/>
  <c r="F44" i="11" l="1"/>
  <c r="F39" i="11"/>
  <c r="F35" i="11"/>
  <c r="M47" i="4"/>
  <c r="M43" i="4"/>
  <c r="M39" i="4"/>
  <c r="H15" i="7"/>
  <c r="H42" i="7"/>
  <c r="H33" i="7"/>
  <c r="H52" i="7"/>
  <c r="H50" i="7"/>
  <c r="H17" i="7" l="1"/>
  <c r="H18" i="7"/>
  <c r="D31" i="45"/>
  <c r="F29" i="44"/>
  <c r="F30" i="44" s="1"/>
  <c r="F32" i="44" s="1"/>
  <c r="F10" i="44"/>
  <c r="F25" i="44"/>
  <c r="K22" i="5"/>
  <c r="K18" i="5"/>
  <c r="I15" i="45"/>
  <c r="J15" i="45"/>
  <c r="L18" i="45"/>
  <c r="L30" i="45"/>
  <c r="L28" i="45"/>
  <c r="L26" i="45"/>
  <c r="L24" i="45"/>
  <c r="M24" i="45" s="1"/>
  <c r="L22" i="45"/>
  <c r="M22" i="45" s="1"/>
  <c r="L20" i="45"/>
  <c r="F37" i="44" l="1"/>
  <c r="F39" i="44" s="1"/>
  <c r="L15" i="45"/>
  <c r="M53" i="4"/>
  <c r="M27" i="4"/>
  <c r="D15" i="45" l="1"/>
  <c r="J43" i="5"/>
  <c r="L17" i="4"/>
  <c r="K40" i="5" l="1"/>
  <c r="M11" i="45"/>
  <c r="J11" i="45"/>
  <c r="K11" i="45"/>
  <c r="L11" i="45"/>
  <c r="I11" i="45"/>
  <c r="E11" i="45"/>
  <c r="F11" i="45"/>
  <c r="D11" i="45"/>
  <c r="G11" i="45"/>
  <c r="G13" i="11"/>
  <c r="G26" i="11" l="1"/>
  <c r="L40" i="5" l="1"/>
  <c r="L39" i="5"/>
  <c r="L41" i="5"/>
  <c r="R37" i="5"/>
  <c r="K50" i="7"/>
  <c r="M15" i="4" l="1"/>
  <c r="G24" i="45"/>
  <c r="E15" i="45"/>
  <c r="E31" i="45" s="1"/>
  <c r="M28" i="45"/>
  <c r="G26" i="45"/>
  <c r="M26" i="45" s="1"/>
  <c r="I31" i="45" l="1"/>
  <c r="J35" i="5"/>
  <c r="J20" i="5"/>
  <c r="J24" i="5" s="1"/>
  <c r="L49" i="4"/>
  <c r="L41" i="4"/>
  <c r="L29" i="4"/>
  <c r="L21" i="4"/>
  <c r="L31" i="5"/>
  <c r="O19" i="4"/>
  <c r="N56" i="4"/>
  <c r="L31" i="4" l="1"/>
  <c r="J31" i="45"/>
  <c r="I42" i="7"/>
  <c r="I47" i="7" s="1"/>
  <c r="L31" i="45" l="1"/>
  <c r="I33" i="7" l="1"/>
  <c r="G20" i="45"/>
  <c r="M20" i="45" s="1"/>
  <c r="G15" i="45"/>
  <c r="M15" i="45" l="1"/>
  <c r="G31" i="45"/>
  <c r="I41" i="4"/>
  <c r="I21" i="4"/>
  <c r="M21" i="4" s="1"/>
  <c r="I24" i="7"/>
  <c r="J46" i="5"/>
  <c r="J50" i="5" s="1"/>
  <c r="I52" i="7"/>
  <c r="I17" i="6"/>
  <c r="L45" i="4"/>
  <c r="L55" i="4" s="1"/>
  <c r="L35" i="4"/>
  <c r="T27" i="4"/>
  <c r="T26" i="4"/>
  <c r="S28" i="4"/>
  <c r="M31" i="45" l="1"/>
  <c r="G52" i="11"/>
  <c r="I43" i="6"/>
  <c r="I47" i="6" s="1"/>
  <c r="L58" i="4"/>
  <c r="T28" i="4"/>
  <c r="T31" i="4" s="1"/>
  <c r="T33" i="4" s="1"/>
  <c r="A3" i="5"/>
  <c r="H10" i="5"/>
  <c r="H9" i="6" s="1"/>
  <c r="H16" i="5"/>
  <c r="H19" i="5"/>
  <c r="H32" i="5"/>
  <c r="H33" i="5"/>
  <c r="H34" i="5"/>
  <c r="H36" i="5"/>
  <c r="H37" i="5"/>
  <c r="H38" i="5"/>
  <c r="H35" i="5" l="1"/>
  <c r="H20" i="5"/>
  <c r="H43" i="5"/>
  <c r="E70" i="48"/>
  <c r="H46" i="5" l="1"/>
  <c r="M33" i="4"/>
  <c r="M30" i="45" l="1"/>
  <c r="H25" i="6" l="1"/>
  <c r="F13" i="11"/>
  <c r="F24" i="11" l="1"/>
  <c r="H17" i="6"/>
  <c r="H28" i="6" s="1"/>
  <c r="H35" i="6" s="1"/>
  <c r="H39" i="6" s="1"/>
  <c r="M18" i="45"/>
  <c r="F26" i="11" l="1"/>
  <c r="F32" i="11" s="1"/>
  <c r="H14" i="7"/>
  <c r="H16" i="7"/>
  <c r="H32" i="7" l="1"/>
  <c r="H30" i="7"/>
  <c r="H29" i="7"/>
  <c r="H23" i="7"/>
  <c r="H22" i="7"/>
  <c r="F15" i="45" l="1"/>
  <c r="I25" i="4" l="1"/>
  <c r="L9" i="45" l="1"/>
  <c r="M9" i="45" s="1"/>
  <c r="I9" i="45"/>
  <c r="I49" i="4" l="1"/>
  <c r="B18" i="11" l="1"/>
  <c r="F8" i="11" l="1"/>
  <c r="H9" i="7" s="1"/>
  <c r="H34" i="6"/>
  <c r="H29" i="6"/>
  <c r="I52" i="4"/>
  <c r="I40" i="4"/>
  <c r="I38" i="4"/>
  <c r="I18" i="4"/>
  <c r="I28" i="4"/>
  <c r="I29" i="4" s="1"/>
  <c r="I45" i="4"/>
  <c r="I42" i="4"/>
  <c r="I46" i="4"/>
  <c r="H20" i="6"/>
  <c r="H19" i="6"/>
  <c r="H18" i="6"/>
  <c r="H15" i="6"/>
  <c r="H12" i="6"/>
  <c r="I34" i="4"/>
  <c r="I16" i="4"/>
  <c r="F37" i="11" l="1"/>
  <c r="B2" i="6"/>
  <c r="B2" i="7" s="1"/>
  <c r="I55" i="4"/>
  <c r="I17" i="4"/>
  <c r="I31" i="4" s="1"/>
  <c r="I35" i="4" s="1"/>
  <c r="F52" i="11" l="1"/>
  <c r="I58" i="4"/>
  <c r="A2" i="11"/>
  <c r="H43" i="6" l="1"/>
  <c r="H47" i="6" l="1"/>
  <c r="H13" i="7" s="1"/>
  <c r="H24" i="7" s="1"/>
  <c r="H47" i="7" l="1"/>
  <c r="H53" i="7" s="1"/>
  <c r="H55" i="7" s="1"/>
  <c r="H24" i="5" l="1"/>
  <c r="H50" i="5" l="1"/>
  <c r="H51" i="5" s="1"/>
  <c r="K24" i="5"/>
</calcChain>
</file>

<file path=xl/sharedStrings.xml><?xml version="1.0" encoding="utf-8"?>
<sst xmlns="http://schemas.openxmlformats.org/spreadsheetml/2006/main" count="504" uniqueCount="367">
  <si>
    <t>Résultats reportés</t>
  </si>
  <si>
    <t>Autres pertes ordinaires</t>
  </si>
  <si>
    <t>(En dinars tunisiens)</t>
  </si>
  <si>
    <t>ACTIFS</t>
  </si>
  <si>
    <t>Notes</t>
  </si>
  <si>
    <t>ACTIFS NON COURANTS</t>
  </si>
  <si>
    <t>Actifs immobilisés</t>
  </si>
  <si>
    <t>Immobilisations incorporelles</t>
  </si>
  <si>
    <t>Moins : amortissements</t>
  </si>
  <si>
    <t>3.1</t>
  </si>
  <si>
    <t>Immobilisations corporelles</t>
  </si>
  <si>
    <t>Immobilisations financières</t>
  </si>
  <si>
    <t>Moins : provisions</t>
  </si>
  <si>
    <t>Total des actifs immobilisés</t>
  </si>
  <si>
    <t>Autres actifs non courants</t>
  </si>
  <si>
    <t>TOTAL DES ACTIFS NON COURANTS</t>
  </si>
  <si>
    <t>ACTIFS COURANTS</t>
  </si>
  <si>
    <t>Stocks</t>
  </si>
  <si>
    <t>Clients et comptes rattachés</t>
  </si>
  <si>
    <t>Autres actifs courants</t>
  </si>
  <si>
    <t>Placements et autres actifs financiers</t>
  </si>
  <si>
    <t>Liquidités et équivalents de liquidités</t>
  </si>
  <si>
    <t>TOTAL DES ACTIFS COURANTS</t>
  </si>
  <si>
    <t>TOTAL DES ACTIFS</t>
  </si>
  <si>
    <t>CAPITAUX PROPRES ET PASSIFS</t>
  </si>
  <si>
    <t>Capitaux propres</t>
  </si>
  <si>
    <t>Réserves</t>
  </si>
  <si>
    <t>Total capitaux propres avant résultat</t>
  </si>
  <si>
    <t>Résultat de l'exercice</t>
  </si>
  <si>
    <t>TOTAL CAPITAUX PROPRES</t>
  </si>
  <si>
    <t>PASSIFS</t>
  </si>
  <si>
    <t>Passifs non courants</t>
  </si>
  <si>
    <t>Emprunts</t>
  </si>
  <si>
    <t>Autres passifs financiers</t>
  </si>
  <si>
    <t>Provisions</t>
  </si>
  <si>
    <t>Total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</si>
  <si>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</si>
  <si>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</si>
  <si>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</si>
  <si>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</si>
  <si>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passifs courants</t>
  </si>
  <si>
    <t>TOTAL DES PASSIFS</t>
  </si>
  <si>
    <t>TOTAL DES CAPITAUX PROPRES ET PASSIFS</t>
  </si>
  <si>
    <t>PRODUITS D'EXPLOITATION</t>
  </si>
  <si>
    <t>Revenus</t>
  </si>
  <si>
    <t>Autres produits d'exploitation</t>
  </si>
  <si>
    <t>Production immobilisée</t>
  </si>
  <si>
    <t>Total des produits d'exploitation</t>
  </si>
  <si>
    <t>CHARGES D'EXPLOITATION</t>
  </si>
  <si>
    <t>Charges de personnel</t>
  </si>
  <si>
    <t>Dotations aux amortissements et provisions</t>
  </si>
  <si>
    <t>Autres charges d'exploitation</t>
  </si>
  <si>
    <t>Total des charges d'exploitation</t>
  </si>
  <si>
    <t>Résultat d'exploitation</t>
  </si>
  <si>
    <t>Charges financières nettes</t>
  </si>
  <si>
    <t>Produits des placements</t>
  </si>
  <si>
    <t>Autres gains ordinaires</t>
  </si>
  <si>
    <t>Résultat des activités ordinaires avant impôt</t>
  </si>
  <si>
    <t>Impôt sur les bénéfices</t>
  </si>
  <si>
    <t>Résultat des activités ordinaires après impôt</t>
  </si>
  <si>
    <t>Eléments extraordinaires</t>
  </si>
  <si>
    <t>Résultat net de l'exercice</t>
  </si>
  <si>
    <t>Effets des modifications comptables</t>
  </si>
  <si>
    <t>Résultat après modifications comptables</t>
  </si>
  <si>
    <t>Flux de trésorerie liés à l'exploitation</t>
  </si>
  <si>
    <t>Résultat net</t>
  </si>
  <si>
    <t>Ajustements pour :</t>
  </si>
  <si>
    <t>Amortissements et provisions</t>
  </si>
  <si>
    <t>Variation des :</t>
  </si>
  <si>
    <t>- Stocks</t>
  </si>
  <si>
    <t>- Créances</t>
  </si>
  <si>
    <t>- Autres actifs</t>
  </si>
  <si>
    <t>- Fournisseurs et autres dettes</t>
  </si>
  <si>
    <t>Plus ou moins values de cession</t>
  </si>
  <si>
    <t>Reprise sur provision</t>
  </si>
  <si>
    <t>Flux de trésorerie liés aux activités d'investissement</t>
  </si>
  <si>
    <t>Acquisitions d'immobilisations</t>
  </si>
  <si>
    <t>Cessions d'immobilisations</t>
  </si>
  <si>
    <t>Flux de trésorerie liés aux activités de financement</t>
  </si>
  <si>
    <t>Encaissements provenant des emprunts</t>
  </si>
  <si>
    <t>Remboursements d'emprunts</t>
  </si>
  <si>
    <t>Incidence des variations des taux de change sur les</t>
  </si>
  <si>
    <t>liquidités et équivalents de liquidités</t>
  </si>
  <si>
    <t>Variation de trésorerie</t>
  </si>
  <si>
    <t>Trésorerie au début de l'exercice</t>
  </si>
  <si>
    <t>Trésorerie à la clôture de l'exercice</t>
  </si>
  <si>
    <t>Ventes de marchandises</t>
  </si>
  <si>
    <t>MARGE COMMERCIALE</t>
  </si>
  <si>
    <t>Revenus et autres produits d'exploitation</t>
  </si>
  <si>
    <t>Production stockée</t>
  </si>
  <si>
    <t>PRODUCTION DE L'EXERCICE</t>
  </si>
  <si>
    <t>ACTIVITE TOTALE</t>
  </si>
  <si>
    <t>Marge brute totale</t>
  </si>
  <si>
    <t>Achats d'approvisionnements consommés</t>
  </si>
  <si>
    <t>Autres charges externes</t>
  </si>
  <si>
    <t>VALEUR AJOUTEE BRUTE</t>
  </si>
  <si>
    <t>Impôts et taxes</t>
  </si>
  <si>
    <t>EXCEDENT BRUT D'EXLOITATION</t>
  </si>
  <si>
    <t>Transfert et reprise de charges</t>
  </si>
  <si>
    <t>Dotation aux amortissements et aux provisions</t>
  </si>
  <si>
    <t>Impôt sur le résultat ordinaire</t>
  </si>
  <si>
    <t>RESULTAT DES ACTIVITES ORDINAIRES</t>
  </si>
  <si>
    <t>Eléments extraordinaires net d'impôt</t>
  </si>
  <si>
    <t>Effets des modifications comptables net d'impôt</t>
  </si>
  <si>
    <t>Résultat net après modifications comptables</t>
  </si>
  <si>
    <t>Cession de titres de placements</t>
  </si>
  <si>
    <t>Dividendes et autres distributions</t>
  </si>
  <si>
    <t xml:space="preserve">Résultat comptable </t>
  </si>
  <si>
    <t>Réintégrations:</t>
  </si>
  <si>
    <t>Impôts sur le résultat</t>
  </si>
  <si>
    <t>Timbres de voyage</t>
  </si>
  <si>
    <t>Dotations aux provision sur indemnités de mise à la retraite</t>
  </si>
  <si>
    <t>Charges non déductibles</t>
  </si>
  <si>
    <t>pertes exceptionnelles</t>
  </si>
  <si>
    <t>factures non en bonne et due forme</t>
  </si>
  <si>
    <t>Dotations aux provisions pour congés payés</t>
  </si>
  <si>
    <t>Déductions:</t>
  </si>
  <si>
    <t xml:space="preserve">Résultat fiscal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</si>
  <si>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</si>
  <si>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</si>
  <si>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</si>
  <si>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</si>
  <si>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</si>
  <si>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</si>
  <si>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</si>
  <si>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</si>
  <si>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</si>
  <si>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</si>
  <si>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</si>
  <si>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</si>
  <si>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</si>
  <si>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</si>
  <si>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</si>
  <si>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</si>
  <si>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</si>
  <si>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</si>
  <si>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</si>
  <si>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</si>
  <si>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</si>
  <si>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</si>
  <si>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</si>
  <si>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</si>
  <si>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</si>
  <si>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</si>
  <si>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</si>
  <si>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</si>
  <si>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</si>
  <si>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</si>
  <si>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</si>
  <si>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</si>
  <si>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</si>
  <si>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</si>
  <si>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</si>
  <si>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</si>
  <si>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</si>
  <si>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</si>
  <si>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</si>
  <si>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</si>
  <si>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</si>
  <si>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Encaissements liés au capital</t>
  </si>
  <si>
    <t>4.1</t>
  </si>
  <si>
    <t>Capital Social</t>
  </si>
  <si>
    <t>3.2</t>
  </si>
  <si>
    <t>4.2</t>
  </si>
  <si>
    <t>Reprise gain de change sur réévaluation</t>
  </si>
  <si>
    <t xml:space="preserve">Pertes de change sur réévaluations </t>
  </si>
  <si>
    <t>Reprise de la perte de change sur réévaluation</t>
  </si>
  <si>
    <t xml:space="preserve">Gain de change sur réévaluation </t>
  </si>
  <si>
    <t>4.3</t>
  </si>
  <si>
    <t>3.3</t>
  </si>
  <si>
    <t>Dotations aux resorption des charges</t>
  </si>
  <si>
    <t>Transfert de charges</t>
  </si>
  <si>
    <t>3.4</t>
  </si>
  <si>
    <t>Immobilisations encours</t>
  </si>
  <si>
    <t>5.1</t>
  </si>
  <si>
    <t>5.2</t>
  </si>
  <si>
    <t>5.3</t>
  </si>
  <si>
    <t>5.4</t>
  </si>
  <si>
    <t>Valeurs brutes</t>
  </si>
  <si>
    <t>Amortissements</t>
  </si>
  <si>
    <t>VCN</t>
  </si>
  <si>
    <t>Acquisitions</t>
  </si>
  <si>
    <t>Dotation</t>
  </si>
  <si>
    <t>Régul</t>
  </si>
  <si>
    <t>Pénalités de retard</t>
  </si>
  <si>
    <t>Reclassement</t>
  </si>
  <si>
    <t>ANIMAL CITY</t>
  </si>
  <si>
    <t>Autres Immo Financieres</t>
  </si>
  <si>
    <t>Cout d'achat des Mses Vendues</t>
  </si>
  <si>
    <t>Résultat imposable</t>
  </si>
  <si>
    <t>Inst .géne. Agen .et amenagement J.Carthage</t>
  </si>
  <si>
    <t>Inst .géne. Agen .et amenagement J.Menzah</t>
  </si>
  <si>
    <t>Equipement de bureau J.Carthage</t>
  </si>
  <si>
    <t xml:space="preserve">Css </t>
  </si>
  <si>
    <t>Acompte provisionnel</t>
  </si>
  <si>
    <t>Retenue à la source / clients</t>
  </si>
  <si>
    <t xml:space="preserve">ANIMAL CITY CARE  </t>
  </si>
  <si>
    <t>SARL au Capital de 20 000 DT</t>
  </si>
  <si>
    <t xml:space="preserve">Siège Social : 005 RESIDENCE HORIZON BLOC B, AIN ZAGHAOUAN </t>
  </si>
  <si>
    <t>MF: 1684120Q/A/M/000</t>
  </si>
  <si>
    <t>Etats financiers Arrêtés au 31 AOUT 2021</t>
  </si>
  <si>
    <t>Matériel de transport personnes phisiques</t>
  </si>
  <si>
    <t>101100</t>
  </si>
  <si>
    <t>CAPITAL SOCIAL</t>
  </si>
  <si>
    <t>161801</t>
  </si>
  <si>
    <t>CTR LEASING 1577900</t>
  </si>
  <si>
    <t>224400</t>
  </si>
  <si>
    <t>MATERIEL DE TRANSPORT DE PERS.</t>
  </si>
  <si>
    <t>228100</t>
  </si>
  <si>
    <t>INST.GENE. AGENC. ET AMENAG J.C</t>
  </si>
  <si>
    <t>228101</t>
  </si>
  <si>
    <t>INST.GENE. AGENC. ET AMENAG JM</t>
  </si>
  <si>
    <t>228200</t>
  </si>
  <si>
    <t>EQUIPEMENT DE BUREAU J.C</t>
  </si>
  <si>
    <t>265500</t>
  </si>
  <si>
    <t>CAUTIONNEMENTS VERSES</t>
  </si>
  <si>
    <t>272000</t>
  </si>
  <si>
    <t>CHARGES A REPARTIR</t>
  </si>
  <si>
    <t>282440</t>
  </si>
  <si>
    <t>AMORTI MATERIEL TRANSPORT PERSONNES</t>
  </si>
  <si>
    <t>282810</t>
  </si>
  <si>
    <t>AMORTIS INST GENE AG. AM. DIVERS JC</t>
  </si>
  <si>
    <t>282811</t>
  </si>
  <si>
    <t>AMORTIS INST GENE AG. AM. DIVERS JM</t>
  </si>
  <si>
    <t>282820</t>
  </si>
  <si>
    <t>AMORTISSEMENT EQUIPEMENT BUREAU JC</t>
  </si>
  <si>
    <t>370000</t>
  </si>
  <si>
    <t>STOCKS DE MARCHANDISES J.M</t>
  </si>
  <si>
    <t>370100</t>
  </si>
  <si>
    <t>STOCKS DE MARCHANDISES J.C</t>
  </si>
  <si>
    <t>401000</t>
  </si>
  <si>
    <t>FOURNISSEURS BIENS ET SERVICES</t>
  </si>
  <si>
    <t>411000</t>
  </si>
  <si>
    <t>CLIENT DIVERS</t>
  </si>
  <si>
    <t>434300</t>
  </si>
  <si>
    <t>IMPOT A LIQUIDER</t>
  </si>
  <si>
    <t>CSS / STE</t>
  </si>
  <si>
    <t>436670</t>
  </si>
  <si>
    <t>CREDIT DE TVA A REPORTER</t>
  </si>
  <si>
    <t>TCL</t>
  </si>
  <si>
    <t>448100</t>
  </si>
  <si>
    <t>ASSOCIES - OPERATIONS COURANTES</t>
  </si>
  <si>
    <t>457100</t>
  </si>
  <si>
    <t>RF IMPOTS ET TAXE A PAYER</t>
  </si>
  <si>
    <t>505002</t>
  </si>
  <si>
    <t>E-1AN CT LEASING N° 1577900</t>
  </si>
  <si>
    <t>532100</t>
  </si>
  <si>
    <t>BANQUE BIAT</t>
  </si>
  <si>
    <t>532200</t>
  </si>
  <si>
    <t>ATTIJARI BANK</t>
  </si>
  <si>
    <t>541000</t>
  </si>
  <si>
    <t>CAISSE J.M</t>
  </si>
  <si>
    <t>541100</t>
  </si>
  <si>
    <t>CAISSE J.C</t>
  </si>
  <si>
    <t>603700</t>
  </si>
  <si>
    <t>VAR. STOCKS DE MARCHANDISES J.M</t>
  </si>
  <si>
    <t>603701</t>
  </si>
  <si>
    <t>VAR. STOCKS DE MARCHANDISES J.C</t>
  </si>
  <si>
    <t>606002</t>
  </si>
  <si>
    <t>ACHATS NON STOCKES ELECTRICITE</t>
  </si>
  <si>
    <t>607000</t>
  </si>
  <si>
    <t>ACHATS DE MARCHANDISES J.M</t>
  </si>
  <si>
    <t>607003</t>
  </si>
  <si>
    <t>ACHATS NON STOCKES EAU J.C</t>
  </si>
  <si>
    <t>607006</t>
  </si>
  <si>
    <t>ACHAT FOURNITURE  ADMINISTRATIVE JM</t>
  </si>
  <si>
    <t>607100</t>
  </si>
  <si>
    <t>ACHATS DE MARCHANDISES J.C</t>
  </si>
  <si>
    <t>613010</t>
  </si>
  <si>
    <t>LOCATION J.M</t>
  </si>
  <si>
    <t>613020</t>
  </si>
  <si>
    <t>LOCATION J.C</t>
  </si>
  <si>
    <t>622100</t>
  </si>
  <si>
    <t>FRAIS DE TENUE DE COMPTABILITE</t>
  </si>
  <si>
    <t>626100</t>
  </si>
  <si>
    <t>COMMUNICATIONS TELECOM</t>
  </si>
  <si>
    <t>627000</t>
  </si>
  <si>
    <t>SERVICES BANCAIRES ET ASSIMILES</t>
  </si>
  <si>
    <t>632000</t>
  </si>
  <si>
    <t>PENALITE DE RETARD</t>
  </si>
  <si>
    <t>634500</t>
  </si>
  <si>
    <t>ECARTS DE REGLEMENT</t>
  </si>
  <si>
    <t>651160</t>
  </si>
  <si>
    <t>INTER.  D'EMPRUNT ET DETTE ASSIMIL.</t>
  </si>
  <si>
    <t>661300</t>
  </si>
  <si>
    <t>665400</t>
  </si>
  <si>
    <t>DROIT D'ENREGISTREMENT &amp; TIMBRES</t>
  </si>
  <si>
    <t>681120</t>
  </si>
  <si>
    <t>DOT. AMORT. IMMO. CORPORELLES</t>
  </si>
  <si>
    <t>681200</t>
  </si>
  <si>
    <t>DOT. AUX RESORPT. DES CH. REPORTEES</t>
  </si>
  <si>
    <t>691000</t>
  </si>
  <si>
    <t>IMPOTS/BENEFICE RESULTAT ACTI ORDIN</t>
  </si>
  <si>
    <t>691001</t>
  </si>
  <si>
    <t>707100</t>
  </si>
  <si>
    <t>VENTES MARCHANDISES J.M 0%</t>
  </si>
  <si>
    <t>707119</t>
  </si>
  <si>
    <t>VENTES MARCHANDISES J.M 19%</t>
  </si>
  <si>
    <t>707200</t>
  </si>
  <si>
    <t>VENTES MARCHANDISES J.C 0%</t>
  </si>
  <si>
    <t>707219</t>
  </si>
  <si>
    <t>VENTES MARCHANDISES J.C 19%</t>
  </si>
  <si>
    <t>709500</t>
  </si>
  <si>
    <t>AVOIRS FINACIERS</t>
  </si>
  <si>
    <t>734500</t>
  </si>
  <si>
    <t>ECART REGLEMENT</t>
  </si>
  <si>
    <t xml:space="preserve">COMPTE </t>
  </si>
  <si>
    <t xml:space="preserve">LIBELLE </t>
  </si>
  <si>
    <t xml:space="preserve">SC </t>
  </si>
  <si>
    <t>SOLDE</t>
  </si>
  <si>
    <t>Coût d'achat des marchandises vendues</t>
  </si>
  <si>
    <t xml:space="preserve">SD </t>
  </si>
  <si>
    <t>AFFECTATION</t>
  </si>
  <si>
    <t>121000</t>
  </si>
  <si>
    <t>RESULTATS REPORTES</t>
  </si>
  <si>
    <t>161800</t>
  </si>
  <si>
    <t>CTR LEASING 00389940 SEAT</t>
  </si>
  <si>
    <t>425000</t>
  </si>
  <si>
    <t>PERSONNEL - REMUNERATIONS DUES</t>
  </si>
  <si>
    <t>434301</t>
  </si>
  <si>
    <t>453110</t>
  </si>
  <si>
    <t>CNSS</t>
  </si>
  <si>
    <t>471000</t>
  </si>
  <si>
    <t>CHARGES CONSTATEES D'AVANCE</t>
  </si>
  <si>
    <t>505001</t>
  </si>
  <si>
    <t>E-1AN CT N° 389940</t>
  </si>
  <si>
    <t>616000</t>
  </si>
  <si>
    <t>PRIMES D'ASSURANCES</t>
  </si>
  <si>
    <t>640000</t>
  </si>
  <si>
    <t>SALAIRES</t>
  </si>
  <si>
    <t>640001</t>
  </si>
  <si>
    <t>SALAIRE GERANT</t>
  </si>
  <si>
    <t>647000</t>
  </si>
  <si>
    <t>COTIS SECURITE SOCIALE SUR SALAIRES</t>
  </si>
  <si>
    <t>647100</t>
  </si>
  <si>
    <t>ACCIDENT DE TRAVAIL</t>
  </si>
  <si>
    <t>647200</t>
  </si>
  <si>
    <t>COTIS SEC SOC.GERANT</t>
  </si>
  <si>
    <t>661100</t>
  </si>
  <si>
    <t>TFP</t>
  </si>
  <si>
    <t>661200</t>
  </si>
  <si>
    <t>FOPROLOS</t>
  </si>
  <si>
    <t>Étiquettes de lignes</t>
  </si>
  <si>
    <t>(vide)</t>
  </si>
  <si>
    <t>Total général</t>
  </si>
  <si>
    <t>Somme de SOLDE</t>
  </si>
  <si>
    <t>750000</t>
  </si>
  <si>
    <t>PRODUITS FINANCIERS</t>
  </si>
  <si>
    <t>Inst .géne. Agen .et amenagement Carthage</t>
  </si>
  <si>
    <t>Equipement de bureau J.Menzah</t>
  </si>
  <si>
    <t>Matriel Informatique</t>
  </si>
  <si>
    <t>MARGE</t>
  </si>
  <si>
    <t>Immobilisations Incorporelles</t>
  </si>
  <si>
    <t>Fonds Commercial</t>
  </si>
  <si>
    <t>CSS 2025</t>
  </si>
  <si>
    <t>Impôt sur les sociétés 2025</t>
  </si>
  <si>
    <t>BILANS COMPARES ARRETES AUX 31 Déc 2025 &amp; 31 Déc 2024</t>
  </si>
  <si>
    <t>ETATS DE RESULTATS COMPARES ARRETES AUX 31 Déc 2025 &amp; 31 Déc 2024</t>
  </si>
  <si>
    <t>ETATS DES FLUX DE TRESORERIE COMPARES ARRETES AUX 31 Déc 2025 &amp; 31 Déc 2024</t>
  </si>
  <si>
    <t>SOLDES INTERMEDIAIRES DE GESTION COMPARES ARRETES  AUX 31 Déc 2025 &amp;  31 Déc 2024</t>
  </si>
  <si>
    <t>TABLEAU DE DÉTERMINATION DU RÉSULTAT FISCAL 2025</t>
  </si>
  <si>
    <t>TABLEAU DE VARIATION DES IMMOBILISATIONS ET DES AMORTISSEMENTS AUX 31 Décembre 2025</t>
  </si>
  <si>
    <t>Reports IS ®</t>
  </si>
  <si>
    <t>Repport CSS 2025</t>
  </si>
  <si>
    <t>report d impot 2024</t>
  </si>
  <si>
    <t>report CSS  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</si>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</sst>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0"/>
    <numFmt numFmtId="165" formatCode="#,##0\ \ ;\&lt;#,##0\&gt;"/>
    <numFmt numFmtId="166" formatCode="#,##0.000\ \ ;\&lt;#,##0.00\&gt;"/>
    <numFmt numFmtId="167" formatCode="#,##0\ ;\(#,##0\)"/>
    <numFmt numFmtId="168" formatCode="0.000"/>
    <numFmt numFmtId="169" formatCode="#,##0.000\ \ ;\&lt;#,##0.000\&gt;"/>
    <numFmt numFmtId="170" formatCode="_-* #,##0.000\ \ ;\&lt;#,##0.000\&gt;;_-* &quot;-  &quot;\ ;_-@_-"/>
    <numFmt numFmtId="171" formatCode="_-* #,##0.000\ _D_T_-;\-* #,##0.000\ _D_T_-;_-* &quot;-&quot;???\ _D_T_-;_-@_-"/>
  </numFmts>
  <fonts count="38" x14ac:knownFonts="1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Arial"/>
      <family val="2"/>
    </font>
    <font>
      <b/>
      <sz val="12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i/>
      <sz val="10"/>
      <name val="Book Antiqua"/>
      <family val="1"/>
    </font>
    <font>
      <i/>
      <sz val="10"/>
      <name val="Book Antiqua"/>
      <family val="1"/>
    </font>
    <font>
      <b/>
      <u/>
      <sz val="10"/>
      <name val="Book Antiqua"/>
      <family val="1"/>
    </font>
    <font>
      <b/>
      <i/>
      <u/>
      <sz val="10"/>
      <name val="Book Antiqua"/>
      <family val="1"/>
    </font>
    <font>
      <b/>
      <sz val="16"/>
      <name val="Book Antiqua"/>
      <family val="1"/>
    </font>
    <font>
      <sz val="10"/>
      <name val="Comic Sans MS"/>
      <family val="4"/>
    </font>
    <font>
      <sz val="12"/>
      <color theme="1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u/>
      <sz val="9"/>
      <name val="Book Antiqua"/>
      <family val="1"/>
    </font>
    <font>
      <sz val="9"/>
      <name val="Book Antiqua"/>
      <family val="1"/>
    </font>
    <font>
      <b/>
      <sz val="9"/>
      <name val="Book Antiqua"/>
      <family val="1"/>
    </font>
    <font>
      <b/>
      <sz val="10"/>
      <color theme="1"/>
      <name val="Book Antiqua"/>
      <family val="1"/>
    </font>
    <font>
      <sz val="13"/>
      <color theme="1"/>
      <name val="Book Antiqua"/>
      <family val="1"/>
    </font>
    <font>
      <b/>
      <sz val="13"/>
      <color theme="1"/>
      <name val="Book Antiqua"/>
      <family val="1"/>
    </font>
    <font>
      <sz val="18"/>
      <color theme="1"/>
      <name val="Calibri"/>
      <family val="2"/>
      <scheme val="minor"/>
    </font>
    <font>
      <sz val="20"/>
      <color theme="1"/>
      <name val="Book Antiqua"/>
      <family val="1"/>
    </font>
    <font>
      <sz val="20"/>
      <color theme="1"/>
      <name val="Calibri"/>
      <family val="2"/>
      <scheme val="minor"/>
    </font>
    <font>
      <b/>
      <i/>
      <sz val="48"/>
      <color theme="1"/>
      <name val="Book Antiqua"/>
      <family val="1"/>
    </font>
    <font>
      <b/>
      <sz val="18"/>
      <color rgb="FF000000"/>
      <name val="Book Antiqua"/>
      <family val="1"/>
    </font>
    <font>
      <b/>
      <sz val="24"/>
      <color rgb="FF000000"/>
      <name val="Book Antiqua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2"/>
      <color theme="1"/>
      <name val="Book Antiqua"/>
      <family val="1"/>
    </font>
    <font>
      <sz val="12"/>
      <color rgb="FF000000"/>
      <name val="Book Antiqua"/>
      <family val="1"/>
    </font>
    <font>
      <b/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u/>
      <sz val="12"/>
      <color rgb="FF000000"/>
      <name val="Book Antiqua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44" fontId="2" fillId="0" borderId="0" applyFont="0" applyFill="0" applyBorder="0" applyAlignment="0" applyProtection="0"/>
    <xf numFmtId="0" fontId="4" fillId="0" borderId="0"/>
  </cellStyleXfs>
  <cellXfs count="324">
    <xf numFmtId="0" fontId="0" fillId="0" borderId="0" xfId="0"/>
    <xf numFmtId="0" fontId="4" fillId="0" borderId="0" xfId="1" applyFont="1"/>
    <xf numFmtId="0" fontId="5" fillId="2" borderId="1" xfId="1" applyFont="1" applyFill="1" applyBorder="1" applyAlignment="1">
      <alignment horizontal="centerContinuous" vertical="center"/>
    </xf>
    <xf numFmtId="0" fontId="5" fillId="2" borderId="2" xfId="1" applyFont="1" applyFill="1" applyBorder="1" applyAlignment="1">
      <alignment horizontal="centerContinuous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 applyProtection="1">
      <alignment horizontal="centerContinuous" vertical="center"/>
      <protection hidden="1"/>
    </xf>
    <xf numFmtId="0" fontId="5" fillId="2" borderId="0" xfId="1" applyFont="1" applyFill="1" applyAlignment="1" applyProtection="1">
      <alignment horizontal="centerContinuous" vertical="center"/>
      <protection hidden="1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5" fillId="2" borderId="0" xfId="1" quotePrefix="1" applyFont="1" applyFill="1" applyAlignment="1" applyProtection="1">
      <alignment horizontal="centerContinuous" vertical="center"/>
      <protection hidden="1"/>
    </xf>
    <xf numFmtId="0" fontId="5" fillId="2" borderId="7" xfId="1" applyFont="1" applyFill="1" applyBorder="1" applyAlignment="1">
      <alignment vertical="center"/>
    </xf>
    <xf numFmtId="0" fontId="5" fillId="2" borderId="8" xfId="1" applyFont="1" applyFill="1" applyBorder="1" applyAlignment="1">
      <alignment vertical="center"/>
    </xf>
    <xf numFmtId="0" fontId="4" fillId="0" borderId="0" xfId="1" applyFont="1" applyProtection="1">
      <protection hidden="1"/>
    </xf>
    <xf numFmtId="167" fontId="4" fillId="0" borderId="0" xfId="1" applyNumberFormat="1" applyFont="1"/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vertical="top" wrapText="1"/>
    </xf>
    <xf numFmtId="0" fontId="4" fillId="0" borderId="0" xfId="2" applyFont="1" applyProtection="1">
      <protection hidden="1"/>
    </xf>
    <xf numFmtId="0" fontId="13" fillId="0" borderId="0" xfId="0" applyFont="1"/>
    <xf numFmtId="0" fontId="4" fillId="0" borderId="0" xfId="2" applyFont="1" applyAlignment="1" applyProtection="1">
      <alignment horizontal="centerContinuous"/>
      <protection hidden="1"/>
    </xf>
    <xf numFmtId="49" fontId="4" fillId="0" borderId="0" xfId="2" applyNumberFormat="1" applyFont="1" applyAlignment="1" applyProtection="1">
      <alignment horizontal="centerContinuous"/>
      <protection hidden="1"/>
    </xf>
    <xf numFmtId="0" fontId="5" fillId="0" borderId="0" xfId="2" applyFont="1" applyProtection="1">
      <protection hidden="1"/>
    </xf>
    <xf numFmtId="49" fontId="5" fillId="0" borderId="0" xfId="2" applyNumberFormat="1" applyFont="1" applyProtection="1">
      <protection hidden="1"/>
    </xf>
    <xf numFmtId="49" fontId="4" fillId="0" borderId="0" xfId="2" applyNumberFormat="1" applyFont="1" applyProtection="1">
      <protection hidden="1"/>
    </xf>
    <xf numFmtId="0" fontId="5" fillId="2" borderId="7" xfId="2" applyFont="1" applyFill="1" applyBorder="1" applyAlignment="1" applyProtection="1">
      <alignment horizontal="centerContinuous" vertical="center"/>
      <protection hidden="1"/>
    </xf>
    <xf numFmtId="49" fontId="5" fillId="2" borderId="8" xfId="2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/>
      <protection hidden="1"/>
    </xf>
    <xf numFmtId="0" fontId="4" fillId="0" borderId="1" xfId="2" applyFont="1" applyBorder="1" applyProtection="1">
      <protection hidden="1"/>
    </xf>
    <xf numFmtId="0" fontId="4" fillId="0" borderId="2" xfId="2" applyFont="1" applyBorder="1" applyProtection="1">
      <protection hidden="1"/>
    </xf>
    <xf numFmtId="49" fontId="5" fillId="2" borderId="2" xfId="2" applyNumberFormat="1" applyFont="1" applyFill="1" applyBorder="1" applyAlignment="1" applyProtection="1">
      <alignment horizontal="center" vertical="center"/>
      <protection hidden="1"/>
    </xf>
    <xf numFmtId="49" fontId="5" fillId="0" borderId="2" xfId="2" applyNumberFormat="1" applyFont="1" applyBorder="1" applyAlignment="1" applyProtection="1">
      <alignment horizontal="center" vertical="center"/>
      <protection hidden="1"/>
    </xf>
    <xf numFmtId="0" fontId="5" fillId="0" borderId="4" xfId="2" applyFont="1" applyBorder="1" applyAlignment="1" applyProtection="1">
      <alignment horizontal="right" vertical="center"/>
      <protection hidden="1"/>
    </xf>
    <xf numFmtId="0" fontId="9" fillId="0" borderId="5" xfId="2" applyFont="1" applyBorder="1" applyProtection="1">
      <protection hidden="1"/>
    </xf>
    <xf numFmtId="0" fontId="8" fillId="0" borderId="0" xfId="2" applyFont="1" applyProtection="1">
      <protection hidden="1"/>
    </xf>
    <xf numFmtId="49" fontId="5" fillId="2" borderId="0" xfId="2" applyNumberFormat="1" applyFont="1" applyFill="1" applyAlignment="1" applyProtection="1">
      <alignment horizontal="center" vertical="center"/>
      <protection hidden="1"/>
    </xf>
    <xf numFmtId="49" fontId="5" fillId="0" borderId="0" xfId="2" applyNumberFormat="1" applyFont="1" applyAlignment="1" applyProtection="1">
      <alignment horizontal="center" vertical="center"/>
      <protection hidden="1"/>
    </xf>
    <xf numFmtId="0" fontId="5" fillId="0" borderId="6" xfId="2" applyFont="1" applyBorder="1" applyAlignment="1" applyProtection="1">
      <alignment horizontal="right" vertical="center"/>
      <protection hidden="1"/>
    </xf>
    <xf numFmtId="0" fontId="4" fillId="0" borderId="5" xfId="2" applyFont="1" applyBorder="1" applyProtection="1">
      <protection hidden="1"/>
    </xf>
    <xf numFmtId="0" fontId="9" fillId="0" borderId="0" xfId="2" applyFont="1" applyProtection="1">
      <protection hidden="1"/>
    </xf>
    <xf numFmtId="0" fontId="6" fillId="0" borderId="11" xfId="2" applyFont="1" applyBorder="1" applyAlignment="1" applyProtection="1">
      <alignment vertical="center"/>
      <protection hidden="1"/>
    </xf>
    <xf numFmtId="0" fontId="6" fillId="0" borderId="10" xfId="2" applyFont="1" applyBorder="1" applyAlignment="1" applyProtection="1">
      <alignment vertical="center"/>
      <protection hidden="1"/>
    </xf>
    <xf numFmtId="49" fontId="5" fillId="2" borderId="10" xfId="2" applyNumberFormat="1" applyFont="1" applyFill="1" applyBorder="1" applyAlignment="1" applyProtection="1">
      <alignment vertical="center"/>
      <protection hidden="1"/>
    </xf>
    <xf numFmtId="49" fontId="5" fillId="0" borderId="0" xfId="2" applyNumberFormat="1" applyFont="1" applyAlignment="1" applyProtection="1">
      <alignment vertical="center"/>
      <protection hidden="1"/>
    </xf>
    <xf numFmtId="0" fontId="6" fillId="0" borderId="0" xfId="2" applyFont="1" applyAlignment="1" applyProtection="1">
      <alignment vertical="center"/>
      <protection hidden="1"/>
    </xf>
    <xf numFmtId="0" fontId="6" fillId="0" borderId="5" xfId="2" applyFont="1" applyBorder="1" applyAlignment="1" applyProtection="1">
      <alignment vertical="center"/>
      <protection hidden="1"/>
    </xf>
    <xf numFmtId="49" fontId="5" fillId="2" borderId="0" xfId="2" applyNumberFormat="1" applyFont="1" applyFill="1" applyAlignment="1" applyProtection="1">
      <alignment vertical="center"/>
      <protection hidden="1"/>
    </xf>
    <xf numFmtId="0" fontId="6" fillId="2" borderId="7" xfId="2" applyFont="1" applyFill="1" applyBorder="1" applyAlignment="1" applyProtection="1">
      <alignment vertical="center"/>
      <protection hidden="1"/>
    </xf>
    <xf numFmtId="0" fontId="6" fillId="2" borderId="8" xfId="2" applyFont="1" applyFill="1" applyBorder="1" applyAlignment="1" applyProtection="1">
      <alignment vertical="center"/>
      <protection hidden="1"/>
    </xf>
    <xf numFmtId="49" fontId="6" fillId="2" borderId="8" xfId="2" applyNumberFormat="1" applyFont="1" applyFill="1" applyBorder="1" applyAlignment="1" applyProtection="1">
      <alignment horizontal="center" vertical="center"/>
      <protection hidden="1"/>
    </xf>
    <xf numFmtId="165" fontId="6" fillId="2" borderId="8" xfId="2" applyNumberFormat="1" applyFont="1" applyFill="1" applyBorder="1" applyAlignment="1" applyProtection="1">
      <alignment vertical="center"/>
      <protection hidden="1"/>
    </xf>
    <xf numFmtId="0" fontId="5" fillId="2" borderId="7" xfId="2" applyFont="1" applyFill="1" applyBorder="1" applyAlignment="1" applyProtection="1">
      <alignment vertical="center"/>
      <protection hidden="1"/>
    </xf>
    <xf numFmtId="0" fontId="5" fillId="2" borderId="8" xfId="2" applyFont="1" applyFill="1" applyBorder="1" applyAlignment="1" applyProtection="1">
      <alignment vertical="center"/>
      <protection hidden="1"/>
    </xf>
    <xf numFmtId="0" fontId="5" fillId="0" borderId="0" xfId="2" applyFont="1" applyAlignment="1" applyProtection="1">
      <alignment vertical="center"/>
      <protection hidden="1"/>
    </xf>
    <xf numFmtId="166" fontId="4" fillId="0" borderId="0" xfId="2" applyNumberFormat="1" applyFont="1" applyProtection="1">
      <protection hidden="1"/>
    </xf>
    <xf numFmtId="167" fontId="4" fillId="0" borderId="0" xfId="2" applyNumberFormat="1" applyFont="1" applyProtection="1">
      <protection hidden="1"/>
    </xf>
    <xf numFmtId="165" fontId="4" fillId="0" borderId="6" xfId="0" applyNumberFormat="1" applyFont="1" applyBorder="1" applyAlignment="1">
      <alignment horizontal="right"/>
    </xf>
    <xf numFmtId="165" fontId="4" fillId="0" borderId="12" xfId="0" applyNumberFormat="1" applyFont="1" applyBorder="1" applyAlignment="1">
      <alignment horizontal="right"/>
    </xf>
    <xf numFmtId="164" fontId="13" fillId="0" borderId="0" xfId="0" applyNumberFormat="1" applyFont="1"/>
    <xf numFmtId="49" fontId="5" fillId="2" borderId="10" xfId="2" applyNumberFormat="1" applyFont="1" applyFill="1" applyBorder="1" applyAlignment="1" applyProtection="1">
      <alignment horizontal="center" vertical="center"/>
      <protection hidden="1"/>
    </xf>
    <xf numFmtId="0" fontId="5" fillId="0" borderId="13" xfId="2" applyFont="1" applyBorder="1" applyAlignment="1" applyProtection="1">
      <alignment horizontal="right" vertical="center"/>
      <protection hidden="1"/>
    </xf>
    <xf numFmtId="0" fontId="7" fillId="0" borderId="5" xfId="2" applyFont="1" applyBorder="1" applyProtection="1">
      <protection hidden="1"/>
    </xf>
    <xf numFmtId="0" fontId="7" fillId="0" borderId="0" xfId="2" applyFont="1" applyProtection="1">
      <protection hidden="1"/>
    </xf>
    <xf numFmtId="0" fontId="4" fillId="0" borderId="6" xfId="2" applyFont="1" applyBorder="1" applyAlignment="1" applyProtection="1">
      <alignment horizontal="right"/>
      <protection hidden="1"/>
    </xf>
    <xf numFmtId="168" fontId="4" fillId="0" borderId="0" xfId="2" applyNumberFormat="1" applyFont="1" applyProtection="1">
      <protection hidden="1"/>
    </xf>
    <xf numFmtId="0" fontId="6" fillId="0" borderId="0" xfId="2" applyFont="1" applyProtection="1">
      <protection hidden="1"/>
    </xf>
    <xf numFmtId="49" fontId="6" fillId="2" borderId="8" xfId="2" applyNumberFormat="1" applyFont="1" applyFill="1" applyBorder="1" applyAlignment="1" applyProtection="1">
      <alignment vertical="center"/>
      <protection hidden="1"/>
    </xf>
    <xf numFmtId="0" fontId="4" fillId="0" borderId="0" xfId="2" quotePrefix="1" applyFont="1" applyAlignment="1" applyProtection="1">
      <alignment horizontal="left"/>
      <protection hidden="1"/>
    </xf>
    <xf numFmtId="0" fontId="7" fillId="0" borderId="6" xfId="2" applyFont="1" applyBorder="1" applyAlignment="1" applyProtection="1">
      <alignment horizontal="right"/>
      <protection hidden="1"/>
    </xf>
    <xf numFmtId="164" fontId="4" fillId="0" borderId="0" xfId="2" applyNumberFormat="1" applyFont="1" applyProtection="1">
      <protection hidden="1"/>
    </xf>
    <xf numFmtId="0" fontId="4" fillId="0" borderId="0" xfId="2" applyFont="1"/>
    <xf numFmtId="0" fontId="5" fillId="2" borderId="8" xfId="2" applyFont="1" applyFill="1" applyBorder="1" applyAlignment="1" applyProtection="1">
      <alignment horizontal="center" vertical="center"/>
      <protection hidden="1"/>
    </xf>
    <xf numFmtId="0" fontId="5" fillId="0" borderId="5" xfId="2" applyFont="1" applyBorder="1" applyProtection="1">
      <protection hidden="1"/>
    </xf>
    <xf numFmtId="0" fontId="4" fillId="0" borderId="0" xfId="2" quotePrefix="1" applyFont="1" applyProtection="1">
      <protection hidden="1"/>
    </xf>
    <xf numFmtId="0" fontId="6" fillId="0" borderId="1" xfId="2" applyFont="1" applyBorder="1" applyProtection="1">
      <protection hidden="1"/>
    </xf>
    <xf numFmtId="0" fontId="6" fillId="0" borderId="2" xfId="2" applyFont="1" applyBorder="1" applyProtection="1">
      <protection hidden="1"/>
    </xf>
    <xf numFmtId="0" fontId="6" fillId="0" borderId="5" xfId="2" applyFont="1" applyBorder="1" applyProtection="1">
      <protection hidden="1"/>
    </xf>
    <xf numFmtId="0" fontId="6" fillId="0" borderId="15" xfId="2" applyFont="1" applyBorder="1" applyProtection="1">
      <protection hidden="1"/>
    </xf>
    <xf numFmtId="0" fontId="6" fillId="0" borderId="14" xfId="2" applyFont="1" applyBorder="1" applyProtection="1">
      <protection hidden="1"/>
    </xf>
    <xf numFmtId="165" fontId="4" fillId="0" borderId="0" xfId="2" applyNumberFormat="1" applyFont="1" applyProtection="1">
      <protection hidden="1"/>
    </xf>
    <xf numFmtId="165" fontId="4" fillId="0" borderId="0" xfId="2" applyNumberFormat="1" applyFont="1"/>
    <xf numFmtId="0" fontId="5" fillId="0" borderId="19" xfId="2" applyFont="1" applyBorder="1" applyAlignment="1" applyProtection="1">
      <alignment horizontal="right" vertical="center"/>
      <protection hidden="1"/>
    </xf>
    <xf numFmtId="0" fontId="11" fillId="0" borderId="0" xfId="3" applyFont="1"/>
    <xf numFmtId="0" fontId="4" fillId="0" borderId="0" xfId="3" applyFont="1" applyAlignment="1">
      <alignment horizontal="centerContinuous"/>
    </xf>
    <xf numFmtId="0" fontId="4" fillId="0" borderId="0" xfId="3" applyFont="1"/>
    <xf numFmtId="0" fontId="5" fillId="2" borderId="1" xfId="3" applyFont="1" applyFill="1" applyBorder="1" applyAlignment="1">
      <alignment horizontal="centerContinuous" vertical="center"/>
    </xf>
    <xf numFmtId="0" fontId="5" fillId="2" borderId="2" xfId="3" applyFont="1" applyFill="1" applyBorder="1" applyAlignment="1">
      <alignment horizontal="centerContinuous" vertical="center"/>
    </xf>
    <xf numFmtId="0" fontId="5" fillId="2" borderId="3" xfId="3" applyFont="1" applyFill="1" applyBorder="1" applyAlignment="1">
      <alignment horizontal="centerContinuous" vertical="center"/>
    </xf>
    <xf numFmtId="0" fontId="5" fillId="2" borderId="20" xfId="3" applyFont="1" applyFill="1" applyBorder="1" applyAlignment="1">
      <alignment horizontal="centerContinuous" vertical="center"/>
    </xf>
    <xf numFmtId="0" fontId="4" fillId="0" borderId="1" xfId="3" applyFont="1" applyBorder="1"/>
    <xf numFmtId="0" fontId="4" fillId="0" borderId="2" xfId="3" applyFont="1" applyBorder="1"/>
    <xf numFmtId="37" fontId="4" fillId="0" borderId="2" xfId="3" applyNumberFormat="1" applyFont="1" applyBorder="1"/>
    <xf numFmtId="37" fontId="4" fillId="0" borderId="16" xfId="3" applyNumberFormat="1" applyFont="1" applyBorder="1"/>
    <xf numFmtId="0" fontId="5" fillId="0" borderId="5" xfId="3" applyFont="1" applyBorder="1"/>
    <xf numFmtId="0" fontId="5" fillId="0" borderId="0" xfId="3" applyFont="1"/>
    <xf numFmtId="167" fontId="5" fillId="0" borderId="0" xfId="3" applyNumberFormat="1" applyFont="1"/>
    <xf numFmtId="169" fontId="5" fillId="0" borderId="0" xfId="3" applyNumberFormat="1" applyFont="1"/>
    <xf numFmtId="169" fontId="5" fillId="0" borderId="18" xfId="3" applyNumberFormat="1" applyFont="1" applyBorder="1"/>
    <xf numFmtId="0" fontId="4" fillId="0" borderId="5" xfId="3" applyFont="1" applyBorder="1"/>
    <xf numFmtId="167" fontId="4" fillId="0" borderId="0" xfId="3" applyNumberFormat="1" applyFont="1"/>
    <xf numFmtId="169" fontId="4" fillId="0" borderId="0" xfId="3" applyNumberFormat="1" applyFont="1"/>
    <xf numFmtId="169" fontId="4" fillId="0" borderId="18" xfId="3" applyNumberFormat="1" applyFont="1" applyBorder="1"/>
    <xf numFmtId="0" fontId="5" fillId="0" borderId="0" xfId="3" quotePrefix="1" applyFont="1" applyAlignment="1">
      <alignment horizontal="left"/>
    </xf>
    <xf numFmtId="169" fontId="4" fillId="0" borderId="6" xfId="3" applyNumberFormat="1" applyFont="1" applyBorder="1"/>
    <xf numFmtId="169" fontId="5" fillId="0" borderId="6" xfId="3" applyNumberFormat="1" applyFont="1" applyBorder="1"/>
    <xf numFmtId="0" fontId="4" fillId="0" borderId="15" xfId="3" applyFont="1" applyBorder="1"/>
    <xf numFmtId="0" fontId="4" fillId="0" borderId="14" xfId="3" applyFont="1" applyBorder="1"/>
    <xf numFmtId="167" fontId="4" fillId="0" borderId="14" xfId="3" applyNumberFormat="1" applyFont="1" applyBorder="1"/>
    <xf numFmtId="169" fontId="4" fillId="0" borderId="14" xfId="3" applyNumberFormat="1" applyFont="1" applyBorder="1"/>
    <xf numFmtId="169" fontId="4" fillId="0" borderId="17" xfId="3" applyNumberFormat="1" applyFont="1" applyBorder="1"/>
    <xf numFmtId="169" fontId="11" fillId="0" borderId="0" xfId="3" applyNumberFormat="1" applyFont="1"/>
    <xf numFmtId="165" fontId="5" fillId="0" borderId="0" xfId="2" applyNumberFormat="1" applyFont="1" applyAlignment="1" applyProtection="1">
      <alignment vertical="center"/>
      <protection hidden="1"/>
    </xf>
    <xf numFmtId="170" fontId="4" fillId="0" borderId="6" xfId="7" applyNumberFormat="1" applyFont="1" applyBorder="1" applyAlignment="1">
      <alignment horizontal="right"/>
    </xf>
    <xf numFmtId="0" fontId="4" fillId="0" borderId="0" xfId="3" quotePrefix="1" applyFont="1" applyAlignment="1">
      <alignment horizontal="left"/>
    </xf>
    <xf numFmtId="0" fontId="4" fillId="0" borderId="0" xfId="3" applyFont="1" applyAlignment="1">
      <alignment horizontal="left"/>
    </xf>
    <xf numFmtId="164" fontId="4" fillId="0" borderId="6" xfId="7" applyNumberFormat="1" applyFont="1" applyBorder="1" applyAlignment="1">
      <alignment horizontal="right"/>
    </xf>
    <xf numFmtId="170" fontId="5" fillId="0" borderId="6" xfId="7" applyNumberFormat="1" applyFont="1" applyBorder="1" applyAlignment="1">
      <alignment horizontal="right"/>
    </xf>
    <xf numFmtId="3" fontId="5" fillId="0" borderId="0" xfId="2" applyNumberFormat="1" applyFont="1" applyAlignment="1" applyProtection="1">
      <alignment vertical="center"/>
      <protection hidden="1"/>
    </xf>
    <xf numFmtId="0" fontId="4" fillId="0" borderId="0" xfId="2" applyFont="1" applyAlignment="1" applyProtection="1">
      <alignment horizontal="center"/>
      <protection hidden="1"/>
    </xf>
    <xf numFmtId="49" fontId="4" fillId="0" borderId="0" xfId="2" applyNumberFormat="1" applyFont="1" applyAlignment="1" applyProtection="1">
      <alignment horizontal="center"/>
      <protection hidden="1"/>
    </xf>
    <xf numFmtId="0" fontId="5" fillId="2" borderId="7" xfId="2" applyFont="1" applyFill="1" applyBorder="1" applyAlignment="1" applyProtection="1">
      <alignment horizontal="center" vertical="center"/>
      <protection hidden="1"/>
    </xf>
    <xf numFmtId="0" fontId="4" fillId="3" borderId="0" xfId="1" applyFont="1" applyFill="1"/>
    <xf numFmtId="0" fontId="0" fillId="3" borderId="0" xfId="0" applyFill="1" applyAlignment="1">
      <alignment horizontal="right"/>
    </xf>
    <xf numFmtId="0" fontId="4" fillId="3" borderId="0" xfId="1" applyFont="1" applyFill="1" applyAlignment="1">
      <alignment horizontal="centerContinuous"/>
    </xf>
    <xf numFmtId="0" fontId="3" fillId="3" borderId="0" xfId="1" quotePrefix="1" applyFont="1" applyFill="1" applyAlignment="1" applyProtection="1">
      <alignment horizontal="center"/>
      <protection hidden="1"/>
    </xf>
    <xf numFmtId="0" fontId="4" fillId="3" borderId="1" xfId="1" applyFont="1" applyFill="1" applyBorder="1"/>
    <xf numFmtId="0" fontId="4" fillId="3" borderId="2" xfId="1" applyFont="1" applyFill="1" applyBorder="1"/>
    <xf numFmtId="0" fontId="4" fillId="3" borderId="5" xfId="1" applyFont="1" applyFill="1" applyBorder="1"/>
    <xf numFmtId="165" fontId="4" fillId="3" borderId="0" xfId="1" applyNumberFormat="1" applyFont="1" applyFill="1"/>
    <xf numFmtId="0" fontId="6" fillId="3" borderId="0" xfId="1" applyFont="1" applyFill="1"/>
    <xf numFmtId="0" fontId="7" fillId="3" borderId="5" xfId="1" applyFont="1" applyFill="1" applyBorder="1"/>
    <xf numFmtId="0" fontId="7" fillId="3" borderId="0" xfId="1" applyFont="1" applyFill="1"/>
    <xf numFmtId="0" fontId="5" fillId="3" borderId="0" xfId="3" applyFont="1" applyFill="1"/>
    <xf numFmtId="165" fontId="4" fillId="0" borderId="12" xfId="2" applyNumberFormat="1" applyFont="1" applyBorder="1" applyAlignment="1" applyProtection="1">
      <alignment horizontal="right"/>
      <protection hidden="1"/>
    </xf>
    <xf numFmtId="165" fontId="6" fillId="0" borderId="12" xfId="2" applyNumberFormat="1" applyFont="1" applyBorder="1" applyAlignment="1" applyProtection="1">
      <alignment horizontal="right" vertical="center"/>
      <protection hidden="1"/>
    </xf>
    <xf numFmtId="165" fontId="13" fillId="0" borderId="0" xfId="0" applyNumberFormat="1" applyFont="1"/>
    <xf numFmtId="0" fontId="4" fillId="0" borderId="0" xfId="10" applyAlignment="1">
      <alignment horizontal="centerContinuous"/>
    </xf>
    <xf numFmtId="0" fontId="4" fillId="0" borderId="0" xfId="10"/>
    <xf numFmtId="0" fontId="5" fillId="0" borderId="0" xfId="10" applyFont="1"/>
    <xf numFmtId="0" fontId="4" fillId="2" borderId="1" xfId="10" applyFill="1" applyBorder="1" applyAlignment="1">
      <alignment horizontal="centerContinuous" vertical="center"/>
    </xf>
    <xf numFmtId="0" fontId="4" fillId="2" borderId="2" xfId="10" applyFill="1" applyBorder="1" applyAlignment="1">
      <alignment horizontal="centerContinuous" vertical="center"/>
    </xf>
    <xf numFmtId="0" fontId="4" fillId="2" borderId="16" xfId="10" applyFill="1" applyBorder="1" applyAlignment="1">
      <alignment horizontal="centerContinuous" vertical="center"/>
    </xf>
    <xf numFmtId="0" fontId="5" fillId="2" borderId="16" xfId="10" applyFont="1" applyFill="1" applyBorder="1" applyAlignment="1">
      <alignment horizontal="center" vertical="center"/>
    </xf>
    <xf numFmtId="0" fontId="5" fillId="2" borderId="16" xfId="10" applyFont="1" applyFill="1" applyBorder="1" applyAlignment="1">
      <alignment horizontal="centerContinuous" vertical="center"/>
    </xf>
    <xf numFmtId="0" fontId="4" fillId="2" borderId="15" xfId="10" applyFill="1" applyBorder="1" applyAlignment="1">
      <alignment horizontal="centerContinuous" vertical="center"/>
    </xf>
    <xf numFmtId="0" fontId="4" fillId="2" borderId="14" xfId="10" applyFill="1" applyBorder="1" applyAlignment="1">
      <alignment horizontal="centerContinuous" vertical="center"/>
    </xf>
    <xf numFmtId="0" fontId="4" fillId="2" borderId="17" xfId="10" applyFill="1" applyBorder="1" applyAlignment="1">
      <alignment horizontal="centerContinuous" vertical="center"/>
    </xf>
    <xf numFmtId="0" fontId="4" fillId="0" borderId="1" xfId="10" applyBorder="1"/>
    <xf numFmtId="0" fontId="4" fillId="0" borderId="4" xfId="10" applyBorder="1"/>
    <xf numFmtId="0" fontId="8" fillId="0" borderId="5" xfId="10" applyFont="1" applyBorder="1" applyAlignment="1">
      <alignment vertical="center"/>
    </xf>
    <xf numFmtId="0" fontId="4" fillId="0" borderId="6" xfId="10" applyBorder="1" applyAlignment="1">
      <alignment vertical="center"/>
    </xf>
    <xf numFmtId="0" fontId="4" fillId="0" borderId="5" xfId="10" applyBorder="1" applyAlignment="1">
      <alignment vertical="center"/>
    </xf>
    <xf numFmtId="3" fontId="16" fillId="0" borderId="0" xfId="10" applyNumberFormat="1" applyFont="1" applyAlignment="1">
      <alignment vertical="center"/>
    </xf>
    <xf numFmtId="168" fontId="0" fillId="0" borderId="0" xfId="0" applyNumberFormat="1"/>
    <xf numFmtId="0" fontId="5" fillId="2" borderId="7" xfId="10" applyFont="1" applyFill="1" applyBorder="1" applyAlignment="1">
      <alignment vertical="center"/>
    </xf>
    <xf numFmtId="0" fontId="5" fillId="2" borderId="8" xfId="10" applyFont="1" applyFill="1" applyBorder="1" applyAlignment="1">
      <alignment vertical="center"/>
    </xf>
    <xf numFmtId="0" fontId="5" fillId="2" borderId="31" xfId="10" applyFont="1" applyFill="1" applyBorder="1" applyAlignment="1">
      <alignment vertical="center"/>
    </xf>
    <xf numFmtId="3" fontId="0" fillId="0" borderId="0" xfId="0" applyNumberFormat="1"/>
    <xf numFmtId="0" fontId="4" fillId="0" borderId="5" xfId="10" applyBorder="1"/>
    <xf numFmtId="0" fontId="4" fillId="0" borderId="6" xfId="10" applyBorder="1"/>
    <xf numFmtId="165" fontId="4" fillId="3" borderId="6" xfId="0" applyNumberFormat="1" applyFont="1" applyFill="1" applyBorder="1" applyAlignment="1">
      <alignment horizontal="right"/>
    </xf>
    <xf numFmtId="0" fontId="0" fillId="3" borderId="0" xfId="0" applyFill="1"/>
    <xf numFmtId="165" fontId="0" fillId="0" borderId="0" xfId="0" applyNumberFormat="1"/>
    <xf numFmtId="165" fontId="12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0" borderId="0" xfId="0" applyFont="1"/>
    <xf numFmtId="0" fontId="23" fillId="0" borderId="0" xfId="0" applyFont="1"/>
    <xf numFmtId="0" fontId="22" fillId="0" borderId="0" xfId="0" applyFont="1" applyAlignment="1">
      <alignment horizontal="center" vertical="center"/>
    </xf>
    <xf numFmtId="0" fontId="7" fillId="0" borderId="6" xfId="10" applyFont="1" applyBorder="1" applyAlignment="1">
      <alignment vertical="center"/>
    </xf>
    <xf numFmtId="0" fontId="7" fillId="0" borderId="5" xfId="10" applyFont="1" applyBorder="1" applyAlignment="1">
      <alignment vertical="center"/>
    </xf>
    <xf numFmtId="165" fontId="4" fillId="0" borderId="10" xfId="2" applyNumberFormat="1" applyFont="1" applyBorder="1" applyAlignment="1" applyProtection="1">
      <alignment horizontal="right"/>
      <protection hidden="1"/>
    </xf>
    <xf numFmtId="0" fontId="5" fillId="0" borderId="0" xfId="2" applyFont="1" applyAlignment="1" applyProtection="1">
      <alignment horizontal="right" vertical="center"/>
      <protection hidden="1"/>
    </xf>
    <xf numFmtId="165" fontId="4" fillId="0" borderId="10" xfId="0" applyNumberFormat="1" applyFont="1" applyBorder="1" applyAlignment="1">
      <alignment horizontal="right"/>
    </xf>
    <xf numFmtId="0" fontId="5" fillId="0" borderId="14" xfId="2" applyFont="1" applyBorder="1" applyAlignment="1" applyProtection="1">
      <alignment horizontal="right" vertical="center"/>
      <protection hidden="1"/>
    </xf>
    <xf numFmtId="0" fontId="5" fillId="0" borderId="2" xfId="2" applyFont="1" applyBorder="1" applyAlignment="1" applyProtection="1">
      <alignment horizontal="right" vertical="center"/>
      <protection hidden="1"/>
    </xf>
    <xf numFmtId="165" fontId="4" fillId="0" borderId="0" xfId="0" applyNumberFormat="1" applyFont="1" applyAlignment="1">
      <alignment horizontal="right"/>
    </xf>
    <xf numFmtId="165" fontId="6" fillId="0" borderId="10" xfId="2" applyNumberFormat="1" applyFont="1" applyBorder="1" applyAlignment="1" applyProtection="1">
      <alignment horizontal="right" vertical="center"/>
      <protection hidden="1"/>
    </xf>
    <xf numFmtId="0" fontId="5" fillId="0" borderId="21" xfId="2" applyFont="1" applyBorder="1" applyAlignment="1" applyProtection="1">
      <alignment horizontal="right" vertical="center"/>
      <protection hidden="1"/>
    </xf>
    <xf numFmtId="0" fontId="4" fillId="0" borderId="0" xfId="2" applyFont="1" applyAlignment="1" applyProtection="1">
      <alignment horizontal="right"/>
      <protection hidden="1"/>
    </xf>
    <xf numFmtId="0" fontId="7" fillId="0" borderId="0" xfId="2" applyFont="1" applyAlignment="1" applyProtection="1">
      <alignment horizontal="right"/>
      <protection hidden="1"/>
    </xf>
    <xf numFmtId="165" fontId="4" fillId="3" borderId="0" xfId="0" applyNumberFormat="1" applyFont="1" applyFill="1" applyAlignment="1">
      <alignment horizontal="right"/>
    </xf>
    <xf numFmtId="164" fontId="0" fillId="0" borderId="0" xfId="0" applyNumberFormat="1"/>
    <xf numFmtId="164" fontId="29" fillId="0" borderId="0" xfId="0" applyNumberFormat="1" applyFont="1"/>
    <xf numFmtId="165" fontId="6" fillId="0" borderId="0" xfId="2" applyNumberFormat="1" applyFont="1" applyAlignment="1" applyProtection="1">
      <alignment vertical="center"/>
      <protection hidden="1"/>
    </xf>
    <xf numFmtId="14" fontId="5" fillId="2" borderId="8" xfId="0" applyNumberFormat="1" applyFont="1" applyFill="1" applyBorder="1" applyAlignment="1" applyProtection="1">
      <alignment horizontal="right" vertical="center"/>
      <protection hidden="1"/>
    </xf>
    <xf numFmtId="14" fontId="5" fillId="2" borderId="9" xfId="0" applyNumberFormat="1" applyFont="1" applyFill="1" applyBorder="1" applyAlignment="1" applyProtection="1">
      <alignment horizontal="right" vertical="center"/>
      <protection hidden="1"/>
    </xf>
    <xf numFmtId="165" fontId="6" fillId="2" borderId="8" xfId="0" applyNumberFormat="1" applyFont="1" applyFill="1" applyBorder="1" applyAlignment="1" applyProtection="1">
      <alignment horizontal="right" vertical="center"/>
      <protection hidden="1"/>
    </xf>
    <xf numFmtId="165" fontId="6" fillId="2" borderId="9" xfId="0" applyNumberFormat="1" applyFont="1" applyFill="1" applyBorder="1" applyAlignment="1" applyProtection="1">
      <alignment horizontal="right" vertical="center"/>
      <protection hidden="1"/>
    </xf>
    <xf numFmtId="165" fontId="5" fillId="2" borderId="8" xfId="0" applyNumberFormat="1" applyFont="1" applyFill="1" applyBorder="1" applyAlignment="1" applyProtection="1">
      <alignment horizontal="right" vertical="center"/>
      <protection hidden="1"/>
    </xf>
    <xf numFmtId="165" fontId="5" fillId="2" borderId="9" xfId="0" applyNumberFormat="1" applyFont="1" applyFill="1" applyBorder="1" applyAlignment="1" applyProtection="1">
      <alignment horizontal="right" vertical="center"/>
      <protection hidden="1"/>
    </xf>
    <xf numFmtId="0" fontId="5" fillId="0" borderId="10" xfId="2" applyFont="1" applyBorder="1" applyAlignment="1" applyProtection="1">
      <alignment horizontal="right" vertical="center"/>
      <protection hidden="1"/>
    </xf>
    <xf numFmtId="0" fontId="6" fillId="0" borderId="0" xfId="2" applyFont="1" applyAlignment="1" applyProtection="1">
      <alignment horizontal="right" vertical="center"/>
      <protection hidden="1"/>
    </xf>
    <xf numFmtId="0" fontId="6" fillId="0" borderId="6" xfId="2" applyFont="1" applyBorder="1" applyAlignment="1" applyProtection="1">
      <alignment horizontal="right" vertical="center"/>
      <protection hidden="1"/>
    </xf>
    <xf numFmtId="165" fontId="6" fillId="2" borderId="8" xfId="0" applyNumberFormat="1" applyFont="1" applyFill="1" applyBorder="1" applyAlignment="1">
      <alignment horizontal="right" vertical="center"/>
    </xf>
    <xf numFmtId="0" fontId="5" fillId="2" borderId="8" xfId="2" applyFont="1" applyFill="1" applyBorder="1" applyAlignment="1" applyProtection="1">
      <alignment horizontal="right" vertical="center"/>
      <protection hidden="1"/>
    </xf>
    <xf numFmtId="165" fontId="6" fillId="2" borderId="9" xfId="0" applyNumberFormat="1" applyFont="1" applyFill="1" applyBorder="1" applyAlignment="1">
      <alignment horizontal="right" vertical="center"/>
    </xf>
    <xf numFmtId="0" fontId="6" fillId="2" borderId="8" xfId="2" applyFont="1" applyFill="1" applyBorder="1" applyAlignment="1" applyProtection="1">
      <alignment horizontal="right" vertical="center"/>
      <protection hidden="1"/>
    </xf>
    <xf numFmtId="0" fontId="4" fillId="0" borderId="0" xfId="2" applyFont="1" applyAlignment="1">
      <alignment horizontal="right"/>
    </xf>
    <xf numFmtId="165" fontId="4" fillId="0" borderId="0" xfId="2" applyNumberFormat="1" applyFont="1" applyAlignment="1" applyProtection="1">
      <alignment horizontal="right"/>
      <protection hidden="1"/>
    </xf>
    <xf numFmtId="165" fontId="4" fillId="0" borderId="0" xfId="2" applyNumberFormat="1" applyFont="1" applyAlignment="1">
      <alignment horizontal="right"/>
    </xf>
    <xf numFmtId="167" fontId="4" fillId="0" borderId="0" xfId="2" applyNumberFormat="1" applyFont="1" applyAlignment="1" applyProtection="1">
      <alignment horizontal="right"/>
      <protection hidden="1"/>
    </xf>
    <xf numFmtId="37" fontId="4" fillId="3" borderId="2" xfId="1" applyNumberFormat="1" applyFont="1" applyFill="1" applyBorder="1" applyAlignment="1">
      <alignment horizontal="right"/>
    </xf>
    <xf numFmtId="37" fontId="4" fillId="3" borderId="4" xfId="1" applyNumberFormat="1" applyFont="1" applyFill="1" applyBorder="1" applyAlignment="1">
      <alignment horizontal="right"/>
    </xf>
    <xf numFmtId="165" fontId="4" fillId="3" borderId="0" xfId="1" applyNumberFormat="1" applyFont="1" applyFill="1" applyAlignment="1">
      <alignment horizontal="right"/>
    </xf>
    <xf numFmtId="165" fontId="4" fillId="3" borderId="6" xfId="1" applyNumberFormat="1" applyFont="1" applyFill="1" applyBorder="1" applyAlignment="1">
      <alignment horizontal="right"/>
    </xf>
    <xf numFmtId="165" fontId="6" fillId="2" borderId="8" xfId="1" applyNumberFormat="1" applyFont="1" applyFill="1" applyBorder="1" applyAlignment="1">
      <alignment horizontal="right" vertical="center"/>
    </xf>
    <xf numFmtId="165" fontId="6" fillId="2" borderId="9" xfId="1" applyNumberFormat="1" applyFont="1" applyFill="1" applyBorder="1" applyAlignment="1">
      <alignment horizontal="right" vertical="center"/>
    </xf>
    <xf numFmtId="165" fontId="6" fillId="3" borderId="0" xfId="1" applyNumberFormat="1" applyFont="1" applyFill="1" applyAlignment="1">
      <alignment horizontal="right"/>
    </xf>
    <xf numFmtId="165" fontId="6" fillId="3" borderId="6" xfId="1" applyNumberFormat="1" applyFont="1" applyFill="1" applyBorder="1" applyAlignment="1">
      <alignment horizontal="right"/>
    </xf>
    <xf numFmtId="165" fontId="4" fillId="3" borderId="2" xfId="1" applyNumberFormat="1" applyFont="1" applyFill="1" applyBorder="1" applyAlignment="1">
      <alignment horizontal="right"/>
    </xf>
    <xf numFmtId="165" fontId="4" fillId="3" borderId="4" xfId="1" applyNumberFormat="1" applyFont="1" applyFill="1" applyBorder="1" applyAlignment="1">
      <alignment horizontal="right"/>
    </xf>
    <xf numFmtId="165" fontId="7" fillId="3" borderId="0" xfId="1" applyNumberFormat="1" applyFont="1" applyFill="1" applyAlignment="1">
      <alignment horizontal="right"/>
    </xf>
    <xf numFmtId="165" fontId="7" fillId="3" borderId="6" xfId="1" applyNumberFormat="1" applyFont="1" applyFill="1" applyBorder="1" applyAlignment="1">
      <alignment horizontal="right"/>
    </xf>
    <xf numFmtId="165" fontId="5" fillId="2" borderId="8" xfId="1" applyNumberFormat="1" applyFont="1" applyFill="1" applyBorder="1" applyAlignment="1">
      <alignment horizontal="right" vertical="center"/>
    </xf>
    <xf numFmtId="165" fontId="5" fillId="2" borderId="9" xfId="1" applyNumberFormat="1" applyFont="1" applyFill="1" applyBorder="1" applyAlignment="1">
      <alignment horizontal="right" vertical="center"/>
    </xf>
    <xf numFmtId="14" fontId="5" fillId="2" borderId="24" xfId="10" applyNumberFormat="1" applyFont="1" applyFill="1" applyBorder="1" applyAlignment="1" applyProtection="1">
      <alignment horizontal="right" vertical="center"/>
      <protection hidden="1"/>
    </xf>
    <xf numFmtId="0" fontId="5" fillId="2" borderId="25" xfId="10" applyFont="1" applyFill="1" applyBorder="1" applyAlignment="1">
      <alignment horizontal="right" vertical="center"/>
    </xf>
    <xf numFmtId="0" fontId="5" fillId="2" borderId="26" xfId="10" applyFont="1" applyFill="1" applyBorder="1" applyAlignment="1">
      <alignment horizontal="right" vertical="center"/>
    </xf>
    <xf numFmtId="14" fontId="5" fillId="2" borderId="21" xfId="10" quotePrefix="1" applyNumberFormat="1" applyFont="1" applyFill="1" applyBorder="1" applyAlignment="1">
      <alignment horizontal="right" vertical="center"/>
    </xf>
    <xf numFmtId="14" fontId="5" fillId="2" borderId="17" xfId="10" quotePrefix="1" applyNumberFormat="1" applyFont="1" applyFill="1" applyBorder="1" applyAlignment="1">
      <alignment horizontal="right" vertical="center"/>
    </xf>
    <xf numFmtId="14" fontId="5" fillId="2" borderId="27" xfId="10" applyNumberFormat="1" applyFont="1" applyFill="1" applyBorder="1" applyAlignment="1" applyProtection="1">
      <alignment horizontal="right" vertical="center"/>
      <protection hidden="1"/>
    </xf>
    <xf numFmtId="37" fontId="4" fillId="0" borderId="1" xfId="10" applyNumberFormat="1" applyBorder="1" applyAlignment="1">
      <alignment horizontal="right"/>
    </xf>
    <xf numFmtId="37" fontId="4" fillId="0" borderId="28" xfId="10" applyNumberFormat="1" applyBorder="1" applyAlignment="1">
      <alignment horizontal="right"/>
    </xf>
    <xf numFmtId="37" fontId="4" fillId="0" borderId="2" xfId="10" applyNumberFormat="1" applyBorder="1" applyAlignment="1">
      <alignment horizontal="right"/>
    </xf>
    <xf numFmtId="37" fontId="4" fillId="0" borderId="18" xfId="10" applyNumberFormat="1" applyBorder="1" applyAlignment="1">
      <alignment horizontal="right"/>
    </xf>
    <xf numFmtId="0" fontId="5" fillId="2" borderId="18" xfId="10" applyFont="1" applyFill="1" applyBorder="1" applyAlignment="1">
      <alignment horizontal="right" vertical="center"/>
    </xf>
    <xf numFmtId="37" fontId="4" fillId="0" borderId="5" xfId="10" applyNumberFormat="1" applyBorder="1" applyAlignment="1">
      <alignment horizontal="right"/>
    </xf>
    <xf numFmtId="37" fontId="4" fillId="0" borderId="29" xfId="10" applyNumberFormat="1" applyBorder="1" applyAlignment="1">
      <alignment horizontal="right"/>
    </xf>
    <xf numFmtId="37" fontId="4" fillId="0" borderId="0" xfId="10" applyNumberFormat="1" applyAlignment="1">
      <alignment horizontal="right"/>
    </xf>
    <xf numFmtId="3" fontId="15" fillId="0" borderId="5" xfId="10" applyNumberFormat="1" applyFont="1" applyBorder="1" applyAlignment="1">
      <alignment horizontal="right" vertical="center"/>
    </xf>
    <xf numFmtId="3" fontId="15" fillId="0" borderId="30" xfId="10" applyNumberFormat="1" applyFont="1" applyBorder="1" applyAlignment="1">
      <alignment horizontal="right" vertical="center"/>
    </xf>
    <xf numFmtId="3" fontId="15" fillId="0" borderId="29" xfId="10" applyNumberFormat="1" applyFont="1" applyBorder="1" applyAlignment="1">
      <alignment horizontal="right" vertical="center"/>
    </xf>
    <xf numFmtId="3" fontId="15" fillId="0" borderId="18" xfId="10" applyNumberFormat="1" applyFont="1" applyBorder="1" applyAlignment="1">
      <alignment horizontal="right" vertical="center"/>
    </xf>
    <xf numFmtId="3" fontId="15" fillId="0" borderId="0" xfId="10" applyNumberFormat="1" applyFont="1" applyAlignment="1">
      <alignment horizontal="right" vertical="center"/>
    </xf>
    <xf numFmtId="3" fontId="15" fillId="2" borderId="18" xfId="10" applyNumberFormat="1" applyFont="1" applyFill="1" applyBorder="1" applyAlignment="1">
      <alignment horizontal="right" vertical="center"/>
    </xf>
    <xf numFmtId="3" fontId="16" fillId="0" borderId="5" xfId="10" applyNumberFormat="1" applyFont="1" applyBorder="1" applyAlignment="1">
      <alignment horizontal="right" vertical="center"/>
    </xf>
    <xf numFmtId="3" fontId="16" fillId="0" borderId="29" xfId="10" applyNumberFormat="1" applyFont="1" applyBorder="1" applyAlignment="1">
      <alignment horizontal="right" vertical="center"/>
    </xf>
    <xf numFmtId="3" fontId="16" fillId="0" borderId="0" xfId="10" applyNumberFormat="1" applyFont="1" applyAlignment="1">
      <alignment horizontal="right" vertical="center"/>
    </xf>
    <xf numFmtId="3" fontId="16" fillId="0" borderId="18" xfId="10" applyNumberFormat="1" applyFont="1" applyBorder="1" applyAlignment="1">
      <alignment horizontal="right" vertical="center"/>
    </xf>
    <xf numFmtId="3" fontId="16" fillId="2" borderId="18" xfId="10" applyNumberFormat="1" applyFont="1" applyFill="1" applyBorder="1" applyAlignment="1">
      <alignment horizontal="right" vertical="center"/>
    </xf>
    <xf numFmtId="3" fontId="16" fillId="0" borderId="15" xfId="10" applyNumberFormat="1" applyFont="1" applyBorder="1" applyAlignment="1">
      <alignment horizontal="right" vertical="center"/>
    </xf>
    <xf numFmtId="3" fontId="16" fillId="0" borderId="34" xfId="10" applyNumberFormat="1" applyFont="1" applyBorder="1" applyAlignment="1">
      <alignment horizontal="right" vertical="center"/>
    </xf>
    <xf numFmtId="3" fontId="17" fillId="2" borderId="8" xfId="10" applyNumberFormat="1" applyFont="1" applyFill="1" applyBorder="1" applyAlignment="1">
      <alignment horizontal="right" vertical="center"/>
    </xf>
    <xf numFmtId="3" fontId="17" fillId="2" borderId="32" xfId="10" applyNumberFormat="1" applyFont="1" applyFill="1" applyBorder="1" applyAlignment="1">
      <alignment horizontal="right" vertical="center"/>
    </xf>
    <xf numFmtId="3" fontId="17" fillId="2" borderId="33" xfId="10" applyNumberFormat="1" applyFont="1" applyFill="1" applyBorder="1" applyAlignment="1">
      <alignment horizontal="right" vertical="center"/>
    </xf>
    <xf numFmtId="3" fontId="17" fillId="2" borderId="31" xfId="10" applyNumberFormat="1" applyFont="1" applyFill="1" applyBorder="1" applyAlignment="1">
      <alignment horizontal="right" vertical="center"/>
    </xf>
    <xf numFmtId="164" fontId="0" fillId="5" borderId="0" xfId="0" applyNumberFormat="1" applyFill="1"/>
    <xf numFmtId="0" fontId="30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14" fontId="31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3" fontId="32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33" fillId="0" borderId="0" xfId="0" applyFont="1" applyAlignment="1">
      <alignment vertical="center" wrapText="1"/>
    </xf>
    <xf numFmtId="3" fontId="32" fillId="0" borderId="0" xfId="0" applyNumberFormat="1" applyFont="1" applyAlignment="1">
      <alignment horizontal="right" vertical="center"/>
    </xf>
    <xf numFmtId="0" fontId="34" fillId="0" borderId="0" xfId="0" applyFont="1"/>
    <xf numFmtId="0" fontId="12" fillId="0" borderId="0" xfId="0" applyFont="1" applyAlignment="1">
      <alignment horizontal="justify" vertical="center"/>
    </xf>
    <xf numFmtId="0" fontId="30" fillId="0" borderId="0" xfId="0" applyFont="1" applyAlignment="1">
      <alignment horizontal="right" vertical="center" wrapText="1"/>
    </xf>
    <xf numFmtId="3" fontId="34" fillId="0" borderId="14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right" vertical="center" wrapText="1"/>
    </xf>
    <xf numFmtId="0" fontId="34" fillId="0" borderId="0" xfId="0" applyFont="1" applyAlignment="1">
      <alignment vertical="center" wrapText="1"/>
    </xf>
    <xf numFmtId="0" fontId="30" fillId="0" borderId="21" xfId="0" applyFont="1" applyBorder="1" applyAlignment="1">
      <alignment horizontal="right" vertical="center" wrapText="1"/>
    </xf>
    <xf numFmtId="0" fontId="12" fillId="0" borderId="0" xfId="0" applyFont="1"/>
    <xf numFmtId="0" fontId="5" fillId="0" borderId="0" xfId="2" applyFont="1" applyAlignment="1" applyProtection="1">
      <alignment horizontal="centerContinuous"/>
      <protection hidden="1"/>
    </xf>
    <xf numFmtId="0" fontId="3" fillId="0" borderId="0" xfId="2" applyFont="1" applyAlignment="1" applyProtection="1">
      <alignment horizontal="center"/>
      <protection hidden="1"/>
    </xf>
    <xf numFmtId="49" fontId="0" fillId="0" borderId="0" xfId="0" applyNumberFormat="1"/>
    <xf numFmtId="0" fontId="36" fillId="6" borderId="0" xfId="0" applyFont="1" applyFill="1"/>
    <xf numFmtId="164" fontId="36" fillId="6" borderId="0" xfId="0" applyNumberFormat="1" applyFont="1" applyFill="1"/>
    <xf numFmtId="0" fontId="37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11" fillId="0" borderId="0" xfId="3" applyNumberFormat="1" applyFont="1"/>
    <xf numFmtId="0" fontId="5" fillId="2" borderId="8" xfId="2" applyFont="1" applyFill="1" applyBorder="1" applyAlignment="1" applyProtection="1">
      <alignment horizontal="left" vertical="center"/>
      <protection hidden="1"/>
    </xf>
    <xf numFmtId="3" fontId="12" fillId="0" borderId="0" xfId="0" applyNumberFormat="1" applyFont="1" applyAlignment="1">
      <alignment horizontal="right" vertical="center" wrapText="1"/>
    </xf>
    <xf numFmtId="0" fontId="5" fillId="2" borderId="1" xfId="2" applyFont="1" applyFill="1" applyBorder="1" applyAlignment="1" applyProtection="1">
      <alignment horizontal="left" vertical="center"/>
      <protection hidden="1"/>
    </xf>
    <xf numFmtId="49" fontId="0" fillId="5" borderId="0" xfId="0" applyNumberFormat="1" applyFill="1"/>
    <xf numFmtId="0" fontId="37" fillId="5" borderId="0" xfId="0" applyFont="1" applyFill="1" applyAlignment="1">
      <alignment horizontal="center"/>
    </xf>
    <xf numFmtId="0" fontId="0" fillId="5" borderId="0" xfId="0" applyFill="1"/>
    <xf numFmtId="164" fontId="0" fillId="7" borderId="0" xfId="0" applyNumberFormat="1" applyFill="1"/>
    <xf numFmtId="171" fontId="11" fillId="0" borderId="0" xfId="3" applyNumberFormat="1" applyFont="1"/>
    <xf numFmtId="165" fontId="4" fillId="0" borderId="0" xfId="1" applyNumberFormat="1" applyFont="1"/>
    <xf numFmtId="165" fontId="4" fillId="5" borderId="0" xfId="2" applyNumberFormat="1" applyFont="1" applyFill="1" applyProtection="1">
      <protection hidden="1"/>
    </xf>
    <xf numFmtId="3" fontId="5" fillId="2" borderId="18" xfId="10" applyNumberFormat="1" applyFont="1" applyFill="1" applyBorder="1" applyAlignment="1">
      <alignment horizontal="right" vertical="center"/>
    </xf>
    <xf numFmtId="169" fontId="5" fillId="3" borderId="18" xfId="3" applyNumberFormat="1" applyFont="1" applyFill="1" applyBorder="1"/>
    <xf numFmtId="3" fontId="16" fillId="3" borderId="5" xfId="10" applyNumberFormat="1" applyFont="1" applyFill="1" applyBorder="1" applyAlignment="1">
      <alignment horizontal="right" vertical="center"/>
    </xf>
    <xf numFmtId="37" fontId="4" fillId="3" borderId="5" xfId="10" applyNumberFormat="1" applyFill="1" applyBorder="1" applyAlignment="1">
      <alignment horizontal="right"/>
    </xf>
    <xf numFmtId="3" fontId="16" fillId="3" borderId="0" xfId="10" applyNumberFormat="1" applyFont="1" applyFill="1" applyAlignment="1">
      <alignment horizontal="right" vertical="center"/>
    </xf>
    <xf numFmtId="37" fontId="4" fillId="3" borderId="0" xfId="10" applyNumberFormat="1" applyFill="1" applyAlignment="1">
      <alignment horizontal="right"/>
    </xf>
    <xf numFmtId="3" fontId="16" fillId="3" borderId="34" xfId="10" applyNumberFormat="1" applyFont="1" applyFill="1" applyBorder="1" applyAlignment="1">
      <alignment horizontal="right" vertical="center"/>
    </xf>
    <xf numFmtId="3" fontId="16" fillId="3" borderId="29" xfId="10" applyNumberFormat="1" applyFont="1" applyFill="1" applyBorder="1" applyAlignment="1">
      <alignment horizontal="right" vertical="center"/>
    </xf>
    <xf numFmtId="37" fontId="4" fillId="3" borderId="29" xfId="10" applyNumberFormat="1" applyFill="1" applyBorder="1" applyAlignment="1">
      <alignment horizontal="right"/>
    </xf>
    <xf numFmtId="169" fontId="5" fillId="3" borderId="6" xfId="3" applyNumberFormat="1" applyFont="1" applyFill="1" applyBorder="1"/>
    <xf numFmtId="0" fontId="5" fillId="2" borderId="2" xfId="2" applyFont="1" applyFill="1" applyBorder="1" applyAlignment="1" applyProtection="1">
      <alignment horizontal="center" vertical="center"/>
      <protection hidden="1"/>
    </xf>
    <xf numFmtId="0" fontId="5" fillId="2" borderId="0" xfId="2" applyFont="1" applyFill="1" applyAlignment="1" applyProtection="1">
      <alignment horizontal="center" vertical="center"/>
      <protection hidden="1"/>
    </xf>
    <xf numFmtId="0" fontId="5" fillId="2" borderId="14" xfId="2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right" vertical="center" wrapText="1"/>
    </xf>
    <xf numFmtId="3" fontId="32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14" fontId="35" fillId="0" borderId="0" xfId="0" applyNumberFormat="1" applyFont="1" applyAlignment="1">
      <alignment horizontal="right" vertical="center" wrapText="1"/>
    </xf>
    <xf numFmtId="14" fontId="31" fillId="0" borderId="0" xfId="0" applyNumberFormat="1" applyFont="1" applyAlignment="1">
      <alignment horizontal="right" vertical="center" wrapText="1"/>
    </xf>
    <xf numFmtId="0" fontId="5" fillId="0" borderId="0" xfId="2" quotePrefix="1" applyFont="1" applyAlignment="1" applyProtection="1">
      <alignment horizontal="center"/>
      <protection hidden="1"/>
    </xf>
    <xf numFmtId="0" fontId="5" fillId="0" borderId="0" xfId="2" quotePrefix="1" applyFont="1" applyAlignment="1" applyProtection="1">
      <alignment horizontal="center" vertical="center"/>
      <protection hidden="1"/>
    </xf>
    <xf numFmtId="1" fontId="5" fillId="0" borderId="0" xfId="2" quotePrefix="1" applyNumberFormat="1" applyFont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/>
      <protection hidden="1"/>
    </xf>
    <xf numFmtId="0" fontId="5" fillId="0" borderId="0" xfId="2" applyFont="1" applyAlignment="1" applyProtection="1">
      <alignment horizontal="center"/>
      <protection hidden="1"/>
    </xf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vertical="top" wrapText="1"/>
    </xf>
    <xf numFmtId="0" fontId="5" fillId="3" borderId="0" xfId="1" applyFont="1" applyFill="1" applyAlignment="1">
      <alignment horizontal="center"/>
    </xf>
    <xf numFmtId="0" fontId="3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10" fillId="0" borderId="0" xfId="10" applyFont="1" applyAlignment="1">
      <alignment horizontal="center"/>
    </xf>
    <xf numFmtId="0" fontId="3" fillId="0" borderId="0" xfId="10" quotePrefix="1" applyFont="1" applyAlignment="1">
      <alignment horizontal="center"/>
    </xf>
    <xf numFmtId="0" fontId="3" fillId="0" borderId="0" xfId="10" applyFont="1" applyAlignment="1">
      <alignment horizontal="center"/>
    </xf>
    <xf numFmtId="0" fontId="5" fillId="2" borderId="22" xfId="10" applyFont="1" applyFill="1" applyBorder="1" applyAlignment="1">
      <alignment horizontal="center" vertical="center"/>
    </xf>
    <xf numFmtId="0" fontId="5" fillId="2" borderId="3" xfId="10" applyFont="1" applyFill="1" applyBorder="1" applyAlignment="1">
      <alignment horizontal="center" vertical="center"/>
    </xf>
    <xf numFmtId="0" fontId="5" fillId="2" borderId="23" xfId="10" applyFont="1" applyFill="1" applyBorder="1" applyAlignment="1">
      <alignment horizontal="center" vertical="center"/>
    </xf>
  </cellXfs>
  <cellStyles count="11">
    <cellStyle name="Euro" xfId="9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Normal 4" xfId="7" xr:uid="{00000000-0005-0000-0000-000004000000}"/>
    <cellStyle name="Normal 4 2" xfId="8" xr:uid="{00000000-0005-0000-0000-000005000000}"/>
    <cellStyle name="Normal 5" xfId="5" xr:uid="{00000000-0005-0000-0000-000006000000}"/>
    <cellStyle name="Normal 6" xfId="6" xr:uid="{00000000-0005-0000-0000-000007000000}"/>
    <cellStyle name="Normal_EF au 31-12-2004" xfId="10" xr:uid="{00000000-0005-0000-0000-000008000000}"/>
    <cellStyle name="Normal_ETAT FINANCIER OVERSEAS 2005" xfId="2" xr:uid="{00000000-0005-0000-0000-000009000000}"/>
    <cellStyle name="Normal_ETAT FINANCIER OVERSEAS 2005 2" xfId="3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ouha LAMOUCHI" refreshedDate="44627.626684490744" createdVersion="7" refreshedVersion="7" minRefreshableVersion="3" recordCount="108" xr:uid="{58568B97-EDBF-47A7-A0C4-2554416CD783}">
  <cacheSource type="worksheet">
    <worksheetSource ref="A1:F1048576" sheet=" BALANCE 2021"/>
  </cacheSource>
  <cacheFields count="6">
    <cacheField name="COMPTE " numFmtId="0">
      <sharedItems containsBlank="1"/>
    </cacheField>
    <cacheField name="LIBELLE " numFmtId="0">
      <sharedItems containsBlank="1"/>
    </cacheField>
    <cacheField name="SD " numFmtId="0">
      <sharedItems containsString="0" containsBlank="1" containsNumber="1" minValue="35.896999999999998" maxValue="1018787.37"/>
    </cacheField>
    <cacheField name="SC " numFmtId="0">
      <sharedItems containsString="0" containsBlank="1" containsNumber="1" minValue="107.756" maxValue="1178083.4680000001"/>
    </cacheField>
    <cacheField name="SOLDE" numFmtId="0">
      <sharedItems containsString="0" containsBlank="1" containsNumber="1" minValue="-446332.67599999998" maxValue="417409.60099999997"/>
    </cacheField>
    <cacheField name="AFFECTATION" numFmtId="0">
      <sharedItems containsBlank="1" count="24">
        <s v="P1"/>
        <s v="P3"/>
        <s v="P4"/>
        <s v="A3"/>
        <s v="A5"/>
        <s v="A7"/>
        <s v="A4"/>
        <s v="A8"/>
        <s v="P7"/>
        <s v="A10"/>
        <s v="P8"/>
        <s v="A12"/>
        <s v="P9"/>
        <s v="A15"/>
        <s v="R4"/>
        <s v="R7"/>
        <s v="R8"/>
        <s v="R11"/>
        <s v="R5"/>
        <s v="R6"/>
        <s v="R12"/>
        <s v="R1"/>
        <s v="R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101100"/>
    <s v="CAPITAL SOCIAL"/>
    <m/>
    <n v="20000"/>
    <n v="-20000"/>
    <x v="0"/>
  </r>
  <r>
    <s v="121000"/>
    <s v="RESULTATS REPORTES"/>
    <n v="16057.703"/>
    <m/>
    <n v="16057.703"/>
    <x v="1"/>
  </r>
  <r>
    <s v="161800"/>
    <s v="CTR LEASING 00389940 SEAT"/>
    <n v="32368.816999999999"/>
    <n v="92121.425000000003"/>
    <n v="-59752.608000000007"/>
    <x v="2"/>
  </r>
  <r>
    <s v="161801"/>
    <s v="CTR LEASING 1577900"/>
    <n v="68293.966"/>
    <n v="125650.21400000001"/>
    <n v="-57356.248000000007"/>
    <x v="2"/>
  </r>
  <r>
    <s v="224400"/>
    <s v="MATERIEL DE TRANSPORT DE PERS."/>
    <n v="217771.639"/>
    <m/>
    <n v="217771.639"/>
    <x v="3"/>
  </r>
  <r>
    <s v="228100"/>
    <s v="INST.GENE. AGENC. ET AMENAG J.C"/>
    <n v="18364.86"/>
    <m/>
    <n v="18364.86"/>
    <x v="3"/>
  </r>
  <r>
    <s v="228101"/>
    <s v="INST.GENE. AGENC. ET AMENAG JM"/>
    <n v="16668.933000000001"/>
    <m/>
    <n v="16668.933000000001"/>
    <x v="3"/>
  </r>
  <r>
    <s v="228200"/>
    <s v="EQUIPEMENT DE BUREAU J.C"/>
    <n v="988.69600000000003"/>
    <m/>
    <n v="988.69600000000003"/>
    <x v="3"/>
  </r>
  <r>
    <s v="265500"/>
    <s v="CAUTIONNEMENTS VERSES"/>
    <n v="12942.77"/>
    <m/>
    <n v="12942.77"/>
    <x v="4"/>
  </r>
  <r>
    <s v="272000"/>
    <s v="CHARGES A REPARTIR"/>
    <n v="16666.667000000001"/>
    <n v="8333.3330000000005"/>
    <n v="8333.3340000000007"/>
    <x v="5"/>
  </r>
  <r>
    <s v="282440"/>
    <s v="AMORTI MATERIEL TRANSPORT PERSONNES"/>
    <m/>
    <n v="20856.501"/>
    <n v="-20856.501"/>
    <x v="6"/>
  </r>
  <r>
    <s v="282810"/>
    <s v="AMORTIS INST GENE AG. AM. DIVERS JC"/>
    <m/>
    <n v="4584.7830000000004"/>
    <n v="-4584.7830000000004"/>
    <x v="6"/>
  </r>
  <r>
    <s v="282811"/>
    <s v="AMORTIS INST GENE AG. AM. DIVERS JM"/>
    <m/>
    <n v="5699.9830000000002"/>
    <n v="-5699.9830000000002"/>
    <x v="6"/>
  </r>
  <r>
    <s v="282820"/>
    <s v="AMORTISSEMENT EQUIPEMENT BUREAU JC"/>
    <m/>
    <n v="296.58699999999999"/>
    <n v="-296.58699999999999"/>
    <x v="6"/>
  </r>
  <r>
    <s v="370000"/>
    <s v="STOCKS DE MARCHANDISES J.M"/>
    <n v="73446.937000000005"/>
    <n v="41262.180999999997"/>
    <n v="32184.756000000008"/>
    <x v="7"/>
  </r>
  <r>
    <s v="370100"/>
    <s v="STOCKS DE MARCHANDISES J.C"/>
    <n v="179215.799"/>
    <n v="69475.27"/>
    <n v="109740.52899999999"/>
    <x v="7"/>
  </r>
  <r>
    <s v="401000"/>
    <s v="FOURNISSEURS BIENS ET SERVICES"/>
    <n v="1018787.37"/>
    <n v="1178083.4680000001"/>
    <n v="-159296.09800000011"/>
    <x v="8"/>
  </r>
  <r>
    <s v="411000"/>
    <s v="CLIENT DIVERS"/>
    <n v="946142.45799999998"/>
    <n v="943061.37800000003"/>
    <n v="3081.0799999999581"/>
    <x v="9"/>
  </r>
  <r>
    <s v="425000"/>
    <s v="PERSONNEL - REMUNERATIONS DUES"/>
    <n v="4876.9229999999998"/>
    <n v="9145.6139999999996"/>
    <n v="-4268.6909999999998"/>
    <x v="10"/>
  </r>
  <r>
    <s v="434300"/>
    <s v="IMPOT A LIQUIDER"/>
    <n v="500"/>
    <n v="23646.37"/>
    <n v="-23146.37"/>
    <x v="10"/>
  </r>
  <r>
    <s v="434301"/>
    <s v="CSS / STE"/>
    <n v="200"/>
    <n v="1773.0909999999999"/>
    <n v="-1573.0909999999999"/>
    <x v="10"/>
  </r>
  <r>
    <s v="436670"/>
    <s v="CREDIT DE TVA A REPORTER"/>
    <n v="320053.60100000002"/>
    <n v="205826.609"/>
    <n v="114226.99200000003"/>
    <x v="11"/>
  </r>
  <r>
    <s v="448100"/>
    <s v="ASSOCIES - OPERATIONS COURANTES"/>
    <n v="61111.1"/>
    <n v="232100.06899999999"/>
    <n v="-170988.96899999998"/>
    <x v="10"/>
  </r>
  <r>
    <s v="453110"/>
    <s v="CNSS"/>
    <n v="1093.011"/>
    <n v="4070.6019999999999"/>
    <n v="-2977.5909999999999"/>
    <x v="10"/>
  </r>
  <r>
    <s v="457100"/>
    <s v="RF IMPOTS ET TAXE A PAYER"/>
    <n v="17391.55"/>
    <n v="23286.877"/>
    <n v="-5895.3270000000011"/>
    <x v="10"/>
  </r>
  <r>
    <s v="471000"/>
    <s v="CHARGES CONSTATEES D'AVANCE"/>
    <n v="18417.982"/>
    <n v="13923"/>
    <n v="4494.982"/>
    <x v="11"/>
  </r>
  <r>
    <s v="505001"/>
    <s v="E-1AN CT N° 389940"/>
    <n v="21377.118999999999"/>
    <n v="32368.816999999999"/>
    <n v="-10991.698"/>
    <x v="12"/>
  </r>
  <r>
    <s v="505002"/>
    <s v="E-1AN CT LEASING N° 1577900"/>
    <n v="56471.826999999997"/>
    <n v="68293.966"/>
    <n v="-11822.139000000003"/>
    <x v="12"/>
  </r>
  <r>
    <s v="532100"/>
    <s v="BANQUE BIAT"/>
    <n v="171925.11199999999"/>
    <n v="150000.424"/>
    <n v="21924.687999999995"/>
    <x v="13"/>
  </r>
  <r>
    <s v="532200"/>
    <s v="ATTIJARI BANK"/>
    <n v="859611.13300000003"/>
    <n v="745531.96799999999"/>
    <n v="114079.16500000004"/>
    <x v="13"/>
  </r>
  <r>
    <s v="541000"/>
    <s v="CAISSE J.M"/>
    <n v="130535.78"/>
    <n v="130521.55100000001"/>
    <n v="14.228999999992084"/>
    <x v="13"/>
  </r>
  <r>
    <s v="541100"/>
    <s v="CAISSE J.C"/>
    <n v="438325.147"/>
    <n v="438198.13799999998"/>
    <n v="127.00900000002002"/>
    <x v="13"/>
  </r>
  <r>
    <s v="603700"/>
    <s v="VAR. STOCKS DE MARCHANDISES J.M"/>
    <n v="41262.180999999997"/>
    <n v="32184.756000000001"/>
    <n v="9077.4249999999956"/>
    <x v="14"/>
  </r>
  <r>
    <s v="603701"/>
    <s v="VAR. STOCKS DE MARCHANDISES J.C"/>
    <n v="69475.27"/>
    <n v="109740.52899999999"/>
    <n v="-40265.258999999991"/>
    <x v="14"/>
  </r>
  <r>
    <s v="606002"/>
    <s v="ACHATS NON STOCKES ELECTRICITE"/>
    <n v="1029.0309999999999"/>
    <m/>
    <n v="1029.0309999999999"/>
    <x v="14"/>
  </r>
  <r>
    <s v="607000"/>
    <s v="ACHATS DE MARCHANDISES J.M"/>
    <n v="153124.70499999999"/>
    <n v="20305.653999999999"/>
    <n v="132819.05099999998"/>
    <x v="14"/>
  </r>
  <r>
    <s v="607003"/>
    <s v="ACHATS NON STOCKES EAU J.C"/>
    <n v="17100.988000000001"/>
    <m/>
    <n v="17100.988000000001"/>
    <x v="14"/>
  </r>
  <r>
    <s v="607006"/>
    <s v="ACHAT FOURNITURE  ADMINISTRATIVE JM"/>
    <n v="152"/>
    <m/>
    <n v="152"/>
    <x v="14"/>
  </r>
  <r>
    <s v="607100"/>
    <s v="ACHATS DE MARCHANDISES J.C"/>
    <n v="446641.64299999998"/>
    <n v="29232.042000000001"/>
    <n v="417409.60099999997"/>
    <x v="14"/>
  </r>
  <r>
    <s v="613010"/>
    <s v="LOCATION J.M"/>
    <n v="27356.400000000001"/>
    <m/>
    <n v="27356.400000000001"/>
    <x v="15"/>
  </r>
  <r>
    <s v="613020"/>
    <s v="LOCATION J.C"/>
    <n v="60725.4"/>
    <m/>
    <n v="60725.4"/>
    <x v="15"/>
  </r>
  <r>
    <s v="616000"/>
    <s v="PRIMES D'ASSURANCES"/>
    <n v="4016.7489999999998"/>
    <m/>
    <n v="4016.7489999999998"/>
    <x v="15"/>
  </r>
  <r>
    <s v="622100"/>
    <s v="FRAIS DE TENUE DE COMPTABILITE"/>
    <n v="4400"/>
    <m/>
    <n v="4400"/>
    <x v="15"/>
  </r>
  <r>
    <s v="626100"/>
    <s v="COMMUNICATIONS TELECOM"/>
    <n v="1885.95"/>
    <m/>
    <n v="1885.95"/>
    <x v="15"/>
  </r>
  <r>
    <s v="627000"/>
    <s v="SERVICES BANCAIRES ET ASSIMILES"/>
    <n v="9821.1200000000008"/>
    <n v="980.56799999999998"/>
    <n v="8840.5520000000015"/>
    <x v="15"/>
  </r>
  <r>
    <s v="632000"/>
    <s v="PENALITE DE RETARD"/>
    <n v="523.79399999999998"/>
    <m/>
    <n v="523.79399999999998"/>
    <x v="16"/>
  </r>
  <r>
    <s v="634500"/>
    <s v="ECARTS DE REGLEMENT"/>
    <n v="371.39499999999998"/>
    <m/>
    <n v="371.39499999999998"/>
    <x v="17"/>
  </r>
  <r>
    <s v="640000"/>
    <s v="SALAIRES"/>
    <n v="7179.357"/>
    <m/>
    <n v="7179.357"/>
    <x v="18"/>
  </r>
  <r>
    <s v="640001"/>
    <s v="SALAIRE GERANT"/>
    <n v="4021.3110000000001"/>
    <m/>
    <n v="4021.3110000000001"/>
    <x v="18"/>
  </r>
  <r>
    <s v="647000"/>
    <s v="COTIS SECURITE SOCIALE SUR SALAIRES"/>
    <n v="1189.6189999999999"/>
    <m/>
    <n v="1189.6189999999999"/>
    <x v="18"/>
  </r>
  <r>
    <s v="647100"/>
    <s v="ACCIDENT DE TRAVAIL"/>
    <n v="35.896999999999998"/>
    <m/>
    <n v="35.896999999999998"/>
    <x v="18"/>
  </r>
  <r>
    <s v="647200"/>
    <s v="COTIS SEC SOC.GERANT"/>
    <n v="2186.0219999999999"/>
    <m/>
    <n v="2186.0219999999999"/>
    <x v="18"/>
  </r>
  <r>
    <s v="651160"/>
    <s v="INTER.  D'EMPRUNT ET DETTE ASSIMIL."/>
    <n v="9345.67"/>
    <n v="709.46500000000003"/>
    <n v="8636.2049999999999"/>
    <x v="16"/>
  </r>
  <r>
    <s v="661100"/>
    <s v="TFP"/>
    <n v="224.01300000000001"/>
    <m/>
    <n v="224.01300000000001"/>
    <x v="16"/>
  </r>
  <r>
    <s v="661200"/>
    <s v="FOPROLOS"/>
    <n v="112.005"/>
    <m/>
    <n v="112.005"/>
    <x v="15"/>
  </r>
  <r>
    <s v="661300"/>
    <s v="TCL"/>
    <n v="1876.3030000000001"/>
    <m/>
    <n v="1876.3030000000001"/>
    <x v="15"/>
  </r>
  <r>
    <s v="665400"/>
    <s v="DROIT D'ENREGISTREMENT &amp; TIMBRES"/>
    <n v="412.76"/>
    <m/>
    <n v="412.76"/>
    <x v="15"/>
  </r>
  <r>
    <s v="681120"/>
    <s v="DOT. AMORT. IMMO. CORPORELLES"/>
    <n v="29788.705000000002"/>
    <m/>
    <n v="29788.705000000002"/>
    <x v="19"/>
  </r>
  <r>
    <s v="681200"/>
    <s v="DOT. AUX RESORPT. DES CH. REPORTEES"/>
    <n v="8333.3330000000005"/>
    <m/>
    <n v="8333.3330000000005"/>
    <x v="19"/>
  </r>
  <r>
    <s v="691000"/>
    <s v="IMPOTS/BENEFICE RESULTAT ACTI ORDIN"/>
    <n v="23596.37"/>
    <m/>
    <n v="23596.37"/>
    <x v="20"/>
  </r>
  <r>
    <s v="691001"/>
    <s v="CSS / STE"/>
    <n v="1573.0909999999999"/>
    <m/>
    <n v="1573.0909999999999"/>
    <x v="20"/>
  </r>
  <r>
    <s v="707100"/>
    <s v="VENTES MARCHANDISES J.M 0%"/>
    <m/>
    <n v="89805.407000000007"/>
    <n v="-89805.407000000007"/>
    <x v="21"/>
  </r>
  <r>
    <s v="707119"/>
    <s v="VENTES MARCHANDISES J.M 19%"/>
    <m/>
    <n v="68640.657999999996"/>
    <n v="-68640.657999999996"/>
    <x v="21"/>
  </r>
  <r>
    <s v="707200"/>
    <s v="VENTES MARCHANDISES J.C 0%"/>
    <m/>
    <n v="446332.67599999998"/>
    <n v="-446332.67599999998"/>
    <x v="21"/>
  </r>
  <r>
    <s v="707219"/>
    <s v="VENTES MARCHANDISES J.C 19%"/>
    <m/>
    <n v="312726.75599999999"/>
    <n v="-312726.75599999999"/>
    <x v="21"/>
  </r>
  <r>
    <s v="709500"/>
    <s v="AVOIRS FINACIERS"/>
    <n v="51725.569000000003"/>
    <m/>
    <n v="51725.569000000003"/>
    <x v="21"/>
  </r>
  <r>
    <s v="734500"/>
    <s v="ECART REGLEMENT"/>
    <m/>
    <n v="107.756"/>
    <n v="-107.756"/>
    <x v="22"/>
  </r>
  <r>
    <s v="750000"/>
    <s v="PRODUITS FINANCIERS"/>
    <m/>
    <n v="215.065"/>
    <n v="-215.065"/>
    <x v="16"/>
  </r>
  <r>
    <m/>
    <m/>
    <m/>
    <m/>
    <n v="-3.0931346373108681E-10"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  <r>
    <m/>
    <m/>
    <m/>
    <m/>
    <m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8ED9C-F0C5-4D5B-8B0D-5520220BCE93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:B26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25">
        <item x="9"/>
        <item x="11"/>
        <item x="13"/>
        <item x="3"/>
        <item x="6"/>
        <item x="4"/>
        <item x="5"/>
        <item x="7"/>
        <item x="0"/>
        <item x="1"/>
        <item x="2"/>
        <item x="8"/>
        <item x="10"/>
        <item x="12"/>
        <item x="21"/>
        <item x="22"/>
        <item x="17"/>
        <item x="20"/>
        <item x="14"/>
        <item x="18"/>
        <item x="19"/>
        <item x="15"/>
        <item x="16"/>
        <item x="2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e de SOLDE" fld="4" baseField="5" baseItem="21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5FF6-4150-4F9F-A90C-8356496FC807}">
  <dimension ref="A2:M56"/>
  <sheetViews>
    <sheetView view="pageBreakPreview" zoomScaleNormal="100" zoomScaleSheetLayoutView="100" workbookViewId="0">
      <selection activeCell="L36" sqref="L36"/>
    </sheetView>
  </sheetViews>
  <sheetFormatPr baseColWidth="10" defaultRowHeight="15" x14ac:dyDescent="0.25"/>
  <cols>
    <col min="3" max="3" width="17.85546875" customWidth="1"/>
  </cols>
  <sheetData>
    <row r="2" spans="3:3" ht="41.25" customHeight="1" x14ac:dyDescent="0.25"/>
    <row r="3" spans="3:3" ht="17.25" x14ac:dyDescent="0.25">
      <c r="C3" s="162"/>
    </row>
    <row r="4" spans="3:3" ht="15" customHeight="1" x14ac:dyDescent="0.25"/>
    <row r="6" spans="3:3" ht="15" customHeight="1" x14ac:dyDescent="0.25"/>
    <row r="7" spans="3:3" ht="15" customHeight="1" x14ac:dyDescent="0.25"/>
    <row r="8" spans="3:3" ht="15" customHeight="1" x14ac:dyDescent="0.25"/>
    <row r="9" spans="3:3" ht="17.25" x14ac:dyDescent="0.25">
      <c r="C9" s="162"/>
    </row>
    <row r="10" spans="3:3" ht="17.25" x14ac:dyDescent="0.25">
      <c r="C10" s="162"/>
    </row>
    <row r="11" spans="3:3" ht="17.25" x14ac:dyDescent="0.25">
      <c r="C11" s="162"/>
    </row>
    <row r="12" spans="3:3" ht="17.25" x14ac:dyDescent="0.25">
      <c r="C12" s="162"/>
    </row>
    <row r="13" spans="3:3" ht="17.25" x14ac:dyDescent="0.25">
      <c r="C13" s="162"/>
    </row>
    <row r="14" spans="3:3" ht="17.25" x14ac:dyDescent="0.25">
      <c r="C14" s="162"/>
    </row>
    <row r="15" spans="3:3" ht="17.25" x14ac:dyDescent="0.25">
      <c r="C15" s="162"/>
    </row>
    <row r="16" spans="3:3" ht="17.25" x14ac:dyDescent="0.25">
      <c r="C16" s="162"/>
    </row>
    <row r="17" spans="1:13" ht="126" customHeight="1" x14ac:dyDescent="0.25">
      <c r="A17" s="296" t="s">
        <v>196</v>
      </c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</row>
    <row r="18" spans="1:13" ht="17.25" x14ac:dyDescent="0.25">
      <c r="C18" s="162"/>
    </row>
    <row r="19" spans="1:13" ht="17.25" x14ac:dyDescent="0.25">
      <c r="C19" s="163"/>
    </row>
    <row r="23" spans="1:13" ht="26.25" x14ac:dyDescent="0.25">
      <c r="A23" s="294" t="s">
        <v>197</v>
      </c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</row>
    <row r="24" spans="1:13" ht="26.25" x14ac:dyDescent="0.4">
      <c r="A24" s="165"/>
      <c r="B24" s="165"/>
      <c r="C24" s="166"/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1:13" ht="26.25" x14ac:dyDescent="0.25">
      <c r="A25" s="294" t="s">
        <v>198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</row>
    <row r="26" spans="1:13" ht="26.25" x14ac:dyDescent="0.25">
      <c r="A26" s="294">
        <v>2046</v>
      </c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</row>
    <row r="27" spans="1:13" ht="26.25" x14ac:dyDescent="0.25">
      <c r="A27" s="294" t="s">
        <v>199</v>
      </c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</row>
    <row r="54" spans="1:13" ht="10.5" customHeight="1" x14ac:dyDescent="0.25"/>
    <row r="55" spans="1:13" ht="23.25" hidden="1" x14ac:dyDescent="0.3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</row>
    <row r="56" spans="1:13" ht="22.5" customHeight="1" x14ac:dyDescent="0.25">
      <c r="A56" s="295" t="s">
        <v>200</v>
      </c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</row>
  </sheetData>
  <mergeCells count="6">
    <mergeCell ref="A27:M27"/>
    <mergeCell ref="A56:M56"/>
    <mergeCell ref="A17:M17"/>
    <mergeCell ref="A23:M23"/>
    <mergeCell ref="A25:M25"/>
    <mergeCell ref="A26:M26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DE65-F043-4A20-9C03-D6CCC1E09EBC}">
  <dimension ref="A5:H27"/>
  <sheetViews>
    <sheetView view="pageBreakPreview" topLeftCell="A13" zoomScaleNormal="100" zoomScaleSheetLayoutView="100" workbookViewId="0">
      <selection activeCell="L16" sqref="L16"/>
    </sheetView>
  </sheetViews>
  <sheetFormatPr baseColWidth="10" defaultRowHeight="15" x14ac:dyDescent="0.25"/>
  <sheetData>
    <row r="5" ht="15" customHeight="1" x14ac:dyDescent="0.25"/>
    <row r="23" spans="1:8" ht="113.25" customHeight="1" x14ac:dyDescent="0.25">
      <c r="A23" s="297" t="s">
        <v>200</v>
      </c>
      <c r="B23" s="297"/>
      <c r="C23" s="297"/>
      <c r="D23" s="297"/>
      <c r="E23" s="297"/>
      <c r="F23" s="297"/>
      <c r="G23" s="297"/>
      <c r="H23" s="297"/>
    </row>
    <row r="25" spans="1:8" ht="23.25" x14ac:dyDescent="0.35">
      <c r="A25" s="298" t="s">
        <v>196</v>
      </c>
      <c r="B25" s="298"/>
      <c r="C25" s="298"/>
      <c r="D25" s="298"/>
      <c r="E25" s="298"/>
      <c r="F25" s="298"/>
      <c r="G25" s="298"/>
      <c r="H25" s="298"/>
    </row>
    <row r="27" spans="1:8" ht="15.75" customHeight="1" x14ac:dyDescent="0.25">
      <c r="A27" s="299" t="s">
        <v>199</v>
      </c>
      <c r="B27" s="299"/>
      <c r="C27" s="299"/>
      <c r="D27" s="299"/>
      <c r="E27" s="299"/>
      <c r="F27" s="299"/>
      <c r="G27" s="299"/>
      <c r="H27" s="299"/>
    </row>
  </sheetData>
  <mergeCells count="3">
    <mergeCell ref="A23:H23"/>
    <mergeCell ref="A25:H25"/>
    <mergeCell ref="A27:H27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972F-1352-485A-8CCC-53E4B5D64034}">
  <dimension ref="A1:M108"/>
  <sheetViews>
    <sheetView workbookViewId="0">
      <selection activeCell="E22" sqref="E22"/>
    </sheetView>
  </sheetViews>
  <sheetFormatPr baseColWidth="10" defaultRowHeight="15" x14ac:dyDescent="0.25"/>
  <cols>
    <col min="2" max="2" width="39.85546875" customWidth="1"/>
    <col min="3" max="3" width="15.28515625" style="180" customWidth="1"/>
    <col min="4" max="4" width="15.140625" style="180" customWidth="1"/>
    <col min="5" max="5" width="13.7109375" style="180" customWidth="1"/>
    <col min="6" max="6" width="16.85546875" style="180" customWidth="1"/>
    <col min="7" max="7" width="14" style="180" customWidth="1"/>
    <col min="8" max="8" width="13.28515625" customWidth="1"/>
    <col min="9" max="9" width="46.28515625" customWidth="1"/>
    <col min="10" max="10" width="27.7109375" customWidth="1"/>
    <col min="11" max="11" width="17.140625" customWidth="1"/>
  </cols>
  <sheetData>
    <row r="1" spans="1:9" x14ac:dyDescent="0.25">
      <c r="A1" s="265" t="s">
        <v>306</v>
      </c>
      <c r="B1" s="265" t="s">
        <v>307</v>
      </c>
      <c r="C1" s="266" t="s">
        <v>311</v>
      </c>
      <c r="D1" s="266" t="s">
        <v>308</v>
      </c>
      <c r="E1" s="266" t="s">
        <v>309</v>
      </c>
      <c r="F1" s="266" t="s">
        <v>312</v>
      </c>
      <c r="G1" s="181"/>
      <c r="H1" s="181"/>
      <c r="I1" s="180"/>
    </row>
    <row r="2" spans="1:9" x14ac:dyDescent="0.25">
      <c r="A2" s="264" t="s">
        <v>202</v>
      </c>
      <c r="B2" s="264" t="s">
        <v>203</v>
      </c>
      <c r="C2"/>
      <c r="D2" s="180">
        <v>20000</v>
      </c>
      <c r="E2" s="180">
        <v>-20000</v>
      </c>
      <c r="F2" s="267" t="s">
        <v>133</v>
      </c>
      <c r="H2" s="264"/>
      <c r="I2" s="264"/>
    </row>
    <row r="3" spans="1:9" x14ac:dyDescent="0.25">
      <c r="A3" s="264" t="s">
        <v>313</v>
      </c>
      <c r="B3" s="264" t="s">
        <v>314</v>
      </c>
      <c r="C3" s="180">
        <v>16057.703</v>
      </c>
      <c r="D3"/>
      <c r="E3" s="180">
        <v>16057.703</v>
      </c>
      <c r="F3" s="267" t="s">
        <v>135</v>
      </c>
      <c r="H3" s="264"/>
      <c r="I3" s="264"/>
    </row>
    <row r="4" spans="1:9" x14ac:dyDescent="0.25">
      <c r="A4" s="264" t="s">
        <v>315</v>
      </c>
      <c r="B4" s="264" t="s">
        <v>316</v>
      </c>
      <c r="C4" s="180">
        <v>32368.816999999999</v>
      </c>
      <c r="D4" s="180">
        <v>92121.425000000003</v>
      </c>
      <c r="E4" s="180">
        <v>-59752.608000000007</v>
      </c>
      <c r="F4" s="267" t="s">
        <v>136</v>
      </c>
      <c r="H4" s="264"/>
      <c r="I4" s="264"/>
    </row>
    <row r="5" spans="1:9" x14ac:dyDescent="0.25">
      <c r="A5" s="264" t="s">
        <v>204</v>
      </c>
      <c r="B5" s="264" t="s">
        <v>205</v>
      </c>
      <c r="C5" s="180">
        <v>68293.966</v>
      </c>
      <c r="D5" s="180">
        <v>125650.21400000001</v>
      </c>
      <c r="E5" s="180">
        <v>-57356.248000000007</v>
      </c>
      <c r="F5" s="267" t="s">
        <v>136</v>
      </c>
      <c r="H5" s="264"/>
      <c r="I5" s="264"/>
    </row>
    <row r="6" spans="1:9" x14ac:dyDescent="0.25">
      <c r="A6" s="264" t="s">
        <v>206</v>
      </c>
      <c r="B6" s="264" t="s">
        <v>207</v>
      </c>
      <c r="C6" s="180">
        <v>217771.639</v>
      </c>
      <c r="D6"/>
      <c r="E6" s="180">
        <v>217771.639</v>
      </c>
      <c r="F6" s="267" t="s">
        <v>120</v>
      </c>
      <c r="H6" s="264"/>
      <c r="I6" s="264"/>
    </row>
    <row r="7" spans="1:9" x14ac:dyDescent="0.25">
      <c r="A7" s="264" t="s">
        <v>208</v>
      </c>
      <c r="B7" s="264" t="s">
        <v>209</v>
      </c>
      <c r="C7" s="180">
        <v>18364.86</v>
      </c>
      <c r="D7"/>
      <c r="E7" s="180">
        <v>18364.86</v>
      </c>
      <c r="F7" s="267" t="s">
        <v>120</v>
      </c>
      <c r="H7" s="264"/>
      <c r="I7" s="264"/>
    </row>
    <row r="8" spans="1:9" x14ac:dyDescent="0.25">
      <c r="A8" s="264" t="s">
        <v>210</v>
      </c>
      <c r="B8" s="264" t="s">
        <v>211</v>
      </c>
      <c r="C8" s="180">
        <v>16668.933000000001</v>
      </c>
      <c r="D8"/>
      <c r="E8" s="180">
        <v>16668.933000000001</v>
      </c>
      <c r="F8" s="267" t="s">
        <v>120</v>
      </c>
      <c r="H8" s="264"/>
      <c r="I8" s="264"/>
    </row>
    <row r="9" spans="1:9" x14ac:dyDescent="0.25">
      <c r="A9" s="264" t="s">
        <v>212</v>
      </c>
      <c r="B9" s="264" t="s">
        <v>213</v>
      </c>
      <c r="C9" s="180">
        <v>988.69600000000003</v>
      </c>
      <c r="D9"/>
      <c r="E9" s="180">
        <v>988.69600000000003</v>
      </c>
      <c r="F9" s="267" t="s">
        <v>120</v>
      </c>
      <c r="H9" s="264"/>
      <c r="I9" s="264"/>
    </row>
    <row r="10" spans="1:9" x14ac:dyDescent="0.25">
      <c r="A10" s="264" t="s">
        <v>214</v>
      </c>
      <c r="B10" s="264" t="s">
        <v>215</v>
      </c>
      <c r="C10" s="180">
        <v>12942.77</v>
      </c>
      <c r="D10"/>
      <c r="E10" s="180">
        <v>12942.77</v>
      </c>
      <c r="F10" s="267" t="s">
        <v>122</v>
      </c>
      <c r="H10" s="264"/>
      <c r="I10" s="264"/>
    </row>
    <row r="11" spans="1:9" x14ac:dyDescent="0.25">
      <c r="A11" s="264" t="s">
        <v>216</v>
      </c>
      <c r="B11" s="264" t="s">
        <v>217</v>
      </c>
      <c r="C11" s="180">
        <v>16666.667000000001</v>
      </c>
      <c r="D11" s="180">
        <v>8333.3330000000005</v>
      </c>
      <c r="E11" s="180">
        <v>8333.3340000000007</v>
      </c>
      <c r="F11" s="267" t="s">
        <v>124</v>
      </c>
      <c r="H11" s="264"/>
      <c r="I11" s="264"/>
    </row>
    <row r="12" spans="1:9" x14ac:dyDescent="0.25">
      <c r="A12" s="264" t="s">
        <v>218</v>
      </c>
      <c r="B12" s="264" t="s">
        <v>219</v>
      </c>
      <c r="C12"/>
      <c r="D12" s="180">
        <v>20856.501</v>
      </c>
      <c r="E12" s="180">
        <v>-20856.501</v>
      </c>
      <c r="F12" s="267" t="s">
        <v>121</v>
      </c>
      <c r="H12" s="264"/>
      <c r="I12" s="264"/>
    </row>
    <row r="13" spans="1:9" x14ac:dyDescent="0.25">
      <c r="A13" s="264" t="s">
        <v>220</v>
      </c>
      <c r="B13" s="264" t="s">
        <v>221</v>
      </c>
      <c r="C13"/>
      <c r="D13" s="180">
        <v>4584.7830000000004</v>
      </c>
      <c r="E13" s="180">
        <v>-4584.7830000000004</v>
      </c>
      <c r="F13" s="267" t="s">
        <v>121</v>
      </c>
      <c r="H13" s="264"/>
      <c r="I13" s="264"/>
    </row>
    <row r="14" spans="1:9" x14ac:dyDescent="0.25">
      <c r="A14" s="264" t="s">
        <v>222</v>
      </c>
      <c r="B14" s="264" t="s">
        <v>223</v>
      </c>
      <c r="C14"/>
      <c r="D14" s="180">
        <v>5699.9830000000002</v>
      </c>
      <c r="E14" s="180">
        <v>-5699.9830000000002</v>
      </c>
      <c r="F14" s="267" t="s">
        <v>121</v>
      </c>
      <c r="H14" s="264"/>
      <c r="I14" s="264"/>
    </row>
    <row r="15" spans="1:9" x14ac:dyDescent="0.25">
      <c r="A15" s="264" t="s">
        <v>224</v>
      </c>
      <c r="B15" s="264" t="s">
        <v>225</v>
      </c>
      <c r="C15"/>
      <c r="D15" s="180">
        <v>296.58699999999999</v>
      </c>
      <c r="E15" s="180">
        <v>-296.58699999999999</v>
      </c>
      <c r="F15" s="267" t="s">
        <v>121</v>
      </c>
      <c r="H15" s="264"/>
      <c r="I15" s="264"/>
    </row>
    <row r="16" spans="1:9" x14ac:dyDescent="0.25">
      <c r="A16" s="264" t="s">
        <v>226</v>
      </c>
      <c r="B16" s="264" t="s">
        <v>227</v>
      </c>
      <c r="C16" s="180">
        <v>73446.937000000005</v>
      </c>
      <c r="D16" s="180">
        <v>41262.180999999997</v>
      </c>
      <c r="E16" s="180">
        <v>32184.756000000008</v>
      </c>
      <c r="F16" s="267" t="s">
        <v>125</v>
      </c>
      <c r="H16" s="264"/>
      <c r="I16" s="264"/>
    </row>
    <row r="17" spans="1:9" x14ac:dyDescent="0.25">
      <c r="A17" s="264" t="s">
        <v>228</v>
      </c>
      <c r="B17" s="264" t="s">
        <v>229</v>
      </c>
      <c r="C17" s="180">
        <v>179215.799</v>
      </c>
      <c r="D17" s="180">
        <v>69475.27</v>
      </c>
      <c r="E17" s="180">
        <v>109740.52899999999</v>
      </c>
      <c r="F17" s="267" t="s">
        <v>125</v>
      </c>
      <c r="H17" s="264"/>
      <c r="I17" s="264"/>
    </row>
    <row r="18" spans="1:9" x14ac:dyDescent="0.25">
      <c r="A18" s="264" t="s">
        <v>230</v>
      </c>
      <c r="B18" s="264" t="s">
        <v>231</v>
      </c>
      <c r="C18" s="180">
        <v>1018787.37</v>
      </c>
      <c r="D18" s="180">
        <v>1178083.4680000001</v>
      </c>
      <c r="E18" s="180">
        <v>-159296.09800000011</v>
      </c>
      <c r="F18" s="267" t="s">
        <v>139</v>
      </c>
      <c r="H18" s="264"/>
      <c r="I18" s="264"/>
    </row>
    <row r="19" spans="1:9" x14ac:dyDescent="0.25">
      <c r="A19" s="264" t="s">
        <v>232</v>
      </c>
      <c r="B19" s="264" t="s">
        <v>233</v>
      </c>
      <c r="C19" s="180">
        <v>946142.45799999998</v>
      </c>
      <c r="D19" s="180">
        <v>943061.37800000003</v>
      </c>
      <c r="E19" s="180">
        <v>3081.0799999999581</v>
      </c>
      <c r="F19" s="267" t="s">
        <v>127</v>
      </c>
      <c r="H19" s="264"/>
      <c r="I19" s="264"/>
    </row>
    <row r="20" spans="1:9" x14ac:dyDescent="0.25">
      <c r="A20" s="264" t="s">
        <v>317</v>
      </c>
      <c r="B20" s="264" t="s">
        <v>318</v>
      </c>
      <c r="C20" s="180">
        <v>4876.9229999999998</v>
      </c>
      <c r="D20" s="180">
        <v>9145.6139999999996</v>
      </c>
      <c r="E20" s="180">
        <v>-4268.6909999999998</v>
      </c>
      <c r="F20" s="267" t="s">
        <v>140</v>
      </c>
      <c r="H20" s="264"/>
      <c r="I20" s="264"/>
    </row>
    <row r="21" spans="1:9" s="276" customFormat="1" x14ac:dyDescent="0.25">
      <c r="A21" s="274" t="s">
        <v>234</v>
      </c>
      <c r="B21" s="274" t="s">
        <v>235</v>
      </c>
      <c r="C21" s="245">
        <v>500</v>
      </c>
      <c r="D21" s="245">
        <v>23646.37</v>
      </c>
      <c r="E21" s="245">
        <v>-23146.37</v>
      </c>
      <c r="F21" s="275" t="s">
        <v>140</v>
      </c>
      <c r="G21" s="245"/>
      <c r="H21" s="274"/>
      <c r="I21" s="274"/>
    </row>
    <row r="22" spans="1:9" x14ac:dyDescent="0.25">
      <c r="A22" s="264" t="s">
        <v>319</v>
      </c>
      <c r="B22" s="264" t="s">
        <v>236</v>
      </c>
      <c r="C22" s="180">
        <v>200</v>
      </c>
      <c r="D22" s="180">
        <v>1773.0909999999999</v>
      </c>
      <c r="E22" s="180">
        <v>-1573.0909999999999</v>
      </c>
      <c r="F22" s="267" t="s">
        <v>140</v>
      </c>
      <c r="H22" s="264"/>
      <c r="I22" s="264"/>
    </row>
    <row r="23" spans="1:9" x14ac:dyDescent="0.25">
      <c r="A23" s="264" t="s">
        <v>237</v>
      </c>
      <c r="B23" s="264" t="s">
        <v>238</v>
      </c>
      <c r="C23" s="180">
        <v>320053.60100000002</v>
      </c>
      <c r="D23" s="180">
        <v>205826.609</v>
      </c>
      <c r="E23" s="180">
        <v>114226.99200000003</v>
      </c>
      <c r="F23" s="267" t="s">
        <v>129</v>
      </c>
      <c r="H23" s="264"/>
      <c r="I23" s="264"/>
    </row>
    <row r="24" spans="1:9" x14ac:dyDescent="0.25">
      <c r="A24" s="274" t="s">
        <v>240</v>
      </c>
      <c r="B24" s="274" t="s">
        <v>241</v>
      </c>
      <c r="C24" s="245">
        <v>61111.1</v>
      </c>
      <c r="D24" s="245">
        <v>232100.06899999999</v>
      </c>
      <c r="E24" s="245">
        <v>-170988.96899999998</v>
      </c>
      <c r="F24" s="275" t="s">
        <v>140</v>
      </c>
      <c r="H24" s="264"/>
      <c r="I24" s="264"/>
    </row>
    <row r="25" spans="1:9" x14ac:dyDescent="0.25">
      <c r="A25" s="264" t="s">
        <v>320</v>
      </c>
      <c r="B25" s="264" t="s">
        <v>321</v>
      </c>
      <c r="C25" s="180">
        <v>1093.011</v>
      </c>
      <c r="D25" s="180">
        <v>4070.6019999999999</v>
      </c>
      <c r="E25" s="180">
        <v>-2977.5909999999999</v>
      </c>
      <c r="F25" s="267" t="s">
        <v>140</v>
      </c>
      <c r="H25" s="264"/>
      <c r="I25" s="264"/>
    </row>
    <row r="26" spans="1:9" x14ac:dyDescent="0.25">
      <c r="A26" s="274" t="s">
        <v>242</v>
      </c>
      <c r="B26" s="274" t="s">
        <v>243</v>
      </c>
      <c r="C26" s="245">
        <v>17391.55</v>
      </c>
      <c r="D26" s="245">
        <v>23286.877</v>
      </c>
      <c r="E26" s="245">
        <v>-5895.3270000000011</v>
      </c>
      <c r="F26" s="275" t="s">
        <v>140</v>
      </c>
      <c r="H26" s="264"/>
      <c r="I26" s="264"/>
    </row>
    <row r="27" spans="1:9" x14ac:dyDescent="0.25">
      <c r="A27" s="264" t="s">
        <v>322</v>
      </c>
      <c r="B27" s="264" t="s">
        <v>323</v>
      </c>
      <c r="C27" s="180">
        <v>18417.982</v>
      </c>
      <c r="D27" s="180">
        <v>13923</v>
      </c>
      <c r="E27" s="180">
        <v>4494.982</v>
      </c>
      <c r="F27" s="267" t="s">
        <v>129</v>
      </c>
      <c r="H27" s="264"/>
      <c r="I27" s="264"/>
    </row>
    <row r="28" spans="1:9" x14ac:dyDescent="0.25">
      <c r="A28" s="264" t="s">
        <v>324</v>
      </c>
      <c r="B28" s="264" t="s">
        <v>325</v>
      </c>
      <c r="C28" s="180">
        <v>21377.118999999999</v>
      </c>
      <c r="D28" s="180">
        <v>32368.816999999999</v>
      </c>
      <c r="E28" s="180">
        <v>-10991.698</v>
      </c>
      <c r="F28" s="267" t="s">
        <v>141</v>
      </c>
      <c r="H28" s="264"/>
      <c r="I28" s="264"/>
    </row>
    <row r="29" spans="1:9" x14ac:dyDescent="0.25">
      <c r="A29" s="264" t="s">
        <v>244</v>
      </c>
      <c r="B29" s="264" t="s">
        <v>245</v>
      </c>
      <c r="C29" s="180">
        <v>56471.826999999997</v>
      </c>
      <c r="D29" s="180">
        <v>68293.966</v>
      </c>
      <c r="E29" s="180">
        <v>-11822.139000000003</v>
      </c>
      <c r="F29" s="267" t="s">
        <v>141</v>
      </c>
      <c r="H29" s="264"/>
      <c r="I29" s="264"/>
    </row>
    <row r="30" spans="1:9" x14ac:dyDescent="0.25">
      <c r="A30" s="264" t="s">
        <v>246</v>
      </c>
      <c r="B30" s="264" t="s">
        <v>247</v>
      </c>
      <c r="C30" s="180">
        <v>171925.11199999999</v>
      </c>
      <c r="D30" s="180">
        <v>150000.424</v>
      </c>
      <c r="E30" s="180">
        <v>21924.687999999995</v>
      </c>
      <c r="F30" s="267" t="s">
        <v>132</v>
      </c>
      <c r="H30" s="264"/>
      <c r="I30" s="264"/>
    </row>
    <row r="31" spans="1:9" x14ac:dyDescent="0.25">
      <c r="A31" s="264" t="s">
        <v>248</v>
      </c>
      <c r="B31" s="264" t="s">
        <v>249</v>
      </c>
      <c r="C31" s="180">
        <v>859611.13300000003</v>
      </c>
      <c r="D31" s="180">
        <v>745531.96799999999</v>
      </c>
      <c r="E31" s="180">
        <v>114079.16500000004</v>
      </c>
      <c r="F31" s="267" t="s">
        <v>132</v>
      </c>
      <c r="H31" s="264"/>
      <c r="I31" s="264"/>
    </row>
    <row r="32" spans="1:9" x14ac:dyDescent="0.25">
      <c r="A32" s="264" t="s">
        <v>250</v>
      </c>
      <c r="B32" s="264" t="s">
        <v>251</v>
      </c>
      <c r="C32" s="180">
        <v>130535.78</v>
      </c>
      <c r="D32" s="180">
        <v>130521.55100000001</v>
      </c>
      <c r="E32" s="180">
        <v>14.228999999992084</v>
      </c>
      <c r="F32" s="267" t="s">
        <v>132</v>
      </c>
      <c r="H32" s="264"/>
      <c r="I32" s="264"/>
    </row>
    <row r="33" spans="1:9" x14ac:dyDescent="0.25">
      <c r="A33" s="264" t="s">
        <v>252</v>
      </c>
      <c r="B33" s="264" t="s">
        <v>253</v>
      </c>
      <c r="C33" s="180">
        <v>438325.147</v>
      </c>
      <c r="D33" s="180">
        <v>438198.13799999998</v>
      </c>
      <c r="E33" s="180">
        <v>127.00900000002002</v>
      </c>
      <c r="F33" s="267" t="s">
        <v>132</v>
      </c>
      <c r="H33" s="264"/>
      <c r="I33" s="264"/>
    </row>
    <row r="34" spans="1:9" ht="17.25" customHeight="1" x14ac:dyDescent="0.25">
      <c r="A34" s="264" t="s">
        <v>254</v>
      </c>
      <c r="B34" s="264" t="s">
        <v>255</v>
      </c>
      <c r="C34" s="180">
        <v>41262.180999999997</v>
      </c>
      <c r="D34" s="180">
        <v>32184.756000000001</v>
      </c>
      <c r="E34" s="180">
        <v>9077.4249999999956</v>
      </c>
      <c r="F34" s="267" t="s">
        <v>145</v>
      </c>
      <c r="H34" s="264"/>
      <c r="I34" s="264"/>
    </row>
    <row r="35" spans="1:9" x14ac:dyDescent="0.25">
      <c r="A35" s="264" t="s">
        <v>256</v>
      </c>
      <c r="B35" s="264" t="s">
        <v>257</v>
      </c>
      <c r="C35" s="180">
        <v>69475.27</v>
      </c>
      <c r="D35" s="180">
        <v>109740.52899999999</v>
      </c>
      <c r="E35" s="180">
        <v>-40265.258999999991</v>
      </c>
      <c r="F35" s="267" t="s">
        <v>145</v>
      </c>
      <c r="H35" s="264"/>
      <c r="I35" s="264"/>
    </row>
    <row r="36" spans="1:9" x14ac:dyDescent="0.25">
      <c r="A36" s="264" t="s">
        <v>258</v>
      </c>
      <c r="B36" s="264" t="s">
        <v>259</v>
      </c>
      <c r="C36" s="180">
        <v>1029.0309999999999</v>
      </c>
      <c r="D36"/>
      <c r="E36" s="180">
        <v>1029.0309999999999</v>
      </c>
      <c r="F36" s="267" t="s">
        <v>145</v>
      </c>
      <c r="H36" s="264"/>
      <c r="I36" s="264"/>
    </row>
    <row r="37" spans="1:9" x14ac:dyDescent="0.25">
      <c r="A37" s="264" t="s">
        <v>260</v>
      </c>
      <c r="B37" s="264" t="s">
        <v>261</v>
      </c>
      <c r="C37" s="180">
        <v>153124.70499999999</v>
      </c>
      <c r="D37" s="180">
        <v>20305.653999999999</v>
      </c>
      <c r="E37" s="180">
        <v>132819.05099999998</v>
      </c>
      <c r="F37" s="267" t="s">
        <v>145</v>
      </c>
      <c r="H37" s="264"/>
      <c r="I37" s="264"/>
    </row>
    <row r="38" spans="1:9" x14ac:dyDescent="0.25">
      <c r="A38" s="264" t="s">
        <v>262</v>
      </c>
      <c r="B38" s="264" t="s">
        <v>263</v>
      </c>
      <c r="C38" s="180">
        <v>17100.988000000001</v>
      </c>
      <c r="D38"/>
      <c r="E38" s="180">
        <v>17100.988000000001</v>
      </c>
      <c r="F38" s="267" t="s">
        <v>145</v>
      </c>
      <c r="H38" s="264"/>
      <c r="I38" s="264"/>
    </row>
    <row r="39" spans="1:9" x14ac:dyDescent="0.25">
      <c r="A39" s="264" t="s">
        <v>264</v>
      </c>
      <c r="B39" s="264" t="s">
        <v>265</v>
      </c>
      <c r="C39" s="180">
        <v>152</v>
      </c>
      <c r="D39"/>
      <c r="E39" s="180">
        <v>152</v>
      </c>
      <c r="F39" s="267" t="s">
        <v>145</v>
      </c>
      <c r="H39" s="264"/>
      <c r="I39" s="264"/>
    </row>
    <row r="40" spans="1:9" x14ac:dyDescent="0.25">
      <c r="A40" s="264" t="s">
        <v>266</v>
      </c>
      <c r="B40" s="264" t="s">
        <v>267</v>
      </c>
      <c r="C40" s="180">
        <v>446641.64299999998</v>
      </c>
      <c r="D40" s="180">
        <v>29232.042000000001</v>
      </c>
      <c r="E40" s="180">
        <v>417409.60099999997</v>
      </c>
      <c r="F40" s="267" t="s">
        <v>145</v>
      </c>
      <c r="H40" s="264"/>
      <c r="I40" s="264"/>
    </row>
    <row r="41" spans="1:9" x14ac:dyDescent="0.25">
      <c r="A41" s="264" t="s">
        <v>268</v>
      </c>
      <c r="B41" s="264" t="s">
        <v>269</v>
      </c>
      <c r="C41" s="180">
        <v>27356.400000000001</v>
      </c>
      <c r="D41"/>
      <c r="E41" s="277">
        <v>27356.400000000001</v>
      </c>
      <c r="F41" s="267" t="s">
        <v>148</v>
      </c>
      <c r="H41" s="264"/>
      <c r="I41" s="264"/>
    </row>
    <row r="42" spans="1:9" x14ac:dyDescent="0.25">
      <c r="A42" s="264" t="s">
        <v>270</v>
      </c>
      <c r="B42" s="264" t="s">
        <v>271</v>
      </c>
      <c r="C42" s="180">
        <v>60725.4</v>
      </c>
      <c r="D42"/>
      <c r="E42" s="277">
        <v>60725.4</v>
      </c>
      <c r="F42" s="267" t="s">
        <v>148</v>
      </c>
      <c r="H42" s="264"/>
      <c r="I42" s="264"/>
    </row>
    <row r="43" spans="1:9" ht="12.75" customHeight="1" x14ac:dyDescent="0.25">
      <c r="A43" s="264" t="s">
        <v>326</v>
      </c>
      <c r="B43" s="264" t="s">
        <v>327</v>
      </c>
      <c r="C43" s="180">
        <v>4016.7489999999998</v>
      </c>
      <c r="D43"/>
      <c r="E43" s="277">
        <v>4016.7489999999998</v>
      </c>
      <c r="F43" s="267" t="s">
        <v>148</v>
      </c>
      <c r="H43" s="264"/>
      <c r="I43" s="264"/>
    </row>
    <row r="44" spans="1:9" x14ac:dyDescent="0.25">
      <c r="A44" s="264" t="s">
        <v>272</v>
      </c>
      <c r="B44" s="264" t="s">
        <v>273</v>
      </c>
      <c r="C44" s="180">
        <v>4400</v>
      </c>
      <c r="D44"/>
      <c r="E44" s="245">
        <v>4400</v>
      </c>
      <c r="F44" s="267" t="s">
        <v>148</v>
      </c>
      <c r="H44" s="264"/>
      <c r="I44" s="264"/>
    </row>
    <row r="45" spans="1:9" x14ac:dyDescent="0.25">
      <c r="A45" s="264" t="s">
        <v>274</v>
      </c>
      <c r="B45" s="264" t="s">
        <v>275</v>
      </c>
      <c r="C45" s="180">
        <v>1885.95</v>
      </c>
      <c r="D45"/>
      <c r="E45" s="277">
        <v>1885.95</v>
      </c>
      <c r="F45" s="267" t="s">
        <v>148</v>
      </c>
      <c r="H45" s="264"/>
      <c r="I45" s="264"/>
    </row>
    <row r="46" spans="1:9" x14ac:dyDescent="0.25">
      <c r="A46" s="264" t="s">
        <v>276</v>
      </c>
      <c r="B46" s="264" t="s">
        <v>277</v>
      </c>
      <c r="C46" s="180">
        <v>9821.1200000000008</v>
      </c>
      <c r="D46" s="180">
        <v>980.56799999999998</v>
      </c>
      <c r="E46" s="245">
        <v>8840.5520000000015</v>
      </c>
      <c r="F46" s="267" t="s">
        <v>148</v>
      </c>
      <c r="H46" s="264"/>
      <c r="I46" s="264"/>
    </row>
    <row r="47" spans="1:9" x14ac:dyDescent="0.25">
      <c r="A47" s="264" t="s">
        <v>278</v>
      </c>
      <c r="B47" s="264" t="s">
        <v>279</v>
      </c>
      <c r="C47" s="180">
        <v>523.79399999999998</v>
      </c>
      <c r="D47"/>
      <c r="E47" s="180">
        <v>523.79399999999998</v>
      </c>
      <c r="F47" s="267" t="s">
        <v>149</v>
      </c>
      <c r="H47" s="264"/>
      <c r="I47" s="264"/>
    </row>
    <row r="48" spans="1:9" x14ac:dyDescent="0.25">
      <c r="A48" s="274" t="s">
        <v>280</v>
      </c>
      <c r="B48" s="274" t="s">
        <v>281</v>
      </c>
      <c r="C48" s="245">
        <v>371.39499999999998</v>
      </c>
      <c r="D48" s="245"/>
      <c r="E48" s="245">
        <v>371.39499999999998</v>
      </c>
      <c r="F48" s="267" t="s">
        <v>152</v>
      </c>
      <c r="H48" s="264"/>
      <c r="I48" s="264"/>
    </row>
    <row r="49" spans="1:9" x14ac:dyDescent="0.25">
      <c r="A49" s="264" t="s">
        <v>328</v>
      </c>
      <c r="B49" s="264" t="s">
        <v>329</v>
      </c>
      <c r="C49" s="180">
        <v>7179.357</v>
      </c>
      <c r="D49"/>
      <c r="E49" s="180">
        <v>7179.357</v>
      </c>
      <c r="F49" s="267" t="s">
        <v>146</v>
      </c>
      <c r="H49" s="264"/>
      <c r="I49" s="264"/>
    </row>
    <row r="50" spans="1:9" x14ac:dyDescent="0.25">
      <c r="A50" s="264" t="s">
        <v>330</v>
      </c>
      <c r="B50" s="264" t="s">
        <v>331</v>
      </c>
      <c r="C50" s="180">
        <v>4021.3110000000001</v>
      </c>
      <c r="D50"/>
      <c r="E50" s="180">
        <v>4021.3110000000001</v>
      </c>
      <c r="F50" s="267" t="s">
        <v>146</v>
      </c>
      <c r="H50" s="264"/>
      <c r="I50" s="264"/>
    </row>
    <row r="51" spans="1:9" x14ac:dyDescent="0.25">
      <c r="A51" s="264" t="s">
        <v>332</v>
      </c>
      <c r="B51" s="264" t="s">
        <v>333</v>
      </c>
      <c r="C51" s="180">
        <v>1189.6189999999999</v>
      </c>
      <c r="D51"/>
      <c r="E51" s="180">
        <v>1189.6189999999999</v>
      </c>
      <c r="F51" s="267" t="s">
        <v>146</v>
      </c>
      <c r="H51" s="264"/>
      <c r="I51" s="264"/>
    </row>
    <row r="52" spans="1:9" x14ac:dyDescent="0.25">
      <c r="A52" s="264" t="s">
        <v>334</v>
      </c>
      <c r="B52" s="264" t="s">
        <v>335</v>
      </c>
      <c r="C52" s="180">
        <v>35.896999999999998</v>
      </c>
      <c r="D52"/>
      <c r="E52" s="180">
        <v>35.896999999999998</v>
      </c>
      <c r="F52" s="267" t="s">
        <v>146</v>
      </c>
      <c r="H52" s="264"/>
      <c r="I52" s="264"/>
    </row>
    <row r="53" spans="1:9" x14ac:dyDescent="0.25">
      <c r="A53" s="264" t="s">
        <v>336</v>
      </c>
      <c r="B53" s="264" t="s">
        <v>337</v>
      </c>
      <c r="C53" s="180">
        <v>2186.0219999999999</v>
      </c>
      <c r="D53"/>
      <c r="E53" s="180">
        <v>2186.0219999999999</v>
      </c>
      <c r="F53" s="267" t="s">
        <v>146</v>
      </c>
      <c r="H53" s="264"/>
      <c r="I53" s="264"/>
    </row>
    <row r="54" spans="1:9" x14ac:dyDescent="0.25">
      <c r="A54" s="264" t="s">
        <v>282</v>
      </c>
      <c r="B54" s="264" t="s">
        <v>283</v>
      </c>
      <c r="C54" s="180">
        <v>9345.67</v>
      </c>
      <c r="D54" s="180">
        <v>709.46500000000003</v>
      </c>
      <c r="E54" s="180">
        <v>8636.2049999999999</v>
      </c>
      <c r="F54" s="267" t="s">
        <v>149</v>
      </c>
      <c r="H54" s="264"/>
      <c r="I54" s="264"/>
    </row>
    <row r="55" spans="1:9" x14ac:dyDescent="0.25">
      <c r="A55" s="264" t="s">
        <v>338</v>
      </c>
      <c r="B55" s="264" t="s">
        <v>339</v>
      </c>
      <c r="C55">
        <v>224.01300000000001</v>
      </c>
      <c r="E55" s="180">
        <v>224.01300000000001</v>
      </c>
      <c r="F55" s="267" t="s">
        <v>149</v>
      </c>
      <c r="H55" s="264"/>
      <c r="I55" s="264"/>
    </row>
    <row r="56" spans="1:9" x14ac:dyDescent="0.25">
      <c r="A56" s="264" t="s">
        <v>340</v>
      </c>
      <c r="B56" s="264" t="s">
        <v>341</v>
      </c>
      <c r="C56" s="180">
        <v>112.005</v>
      </c>
      <c r="D56"/>
      <c r="E56" s="277">
        <v>112.005</v>
      </c>
      <c r="F56" s="267" t="s">
        <v>148</v>
      </c>
      <c r="H56" s="264"/>
      <c r="I56" s="264"/>
    </row>
    <row r="57" spans="1:9" x14ac:dyDescent="0.25">
      <c r="A57" s="264" t="s">
        <v>284</v>
      </c>
      <c r="B57" s="264" t="s">
        <v>239</v>
      </c>
      <c r="C57" s="180">
        <v>1876.3030000000001</v>
      </c>
      <c r="D57"/>
      <c r="E57" s="277">
        <v>1876.3030000000001</v>
      </c>
      <c r="F57" s="267" t="s">
        <v>148</v>
      </c>
      <c r="H57" s="264"/>
      <c r="I57" s="264"/>
    </row>
    <row r="58" spans="1:9" x14ac:dyDescent="0.25">
      <c r="A58" s="264" t="s">
        <v>285</v>
      </c>
      <c r="B58" s="264" t="s">
        <v>286</v>
      </c>
      <c r="C58" s="180">
        <v>412.76</v>
      </c>
      <c r="D58"/>
      <c r="E58" s="277">
        <v>412.76</v>
      </c>
      <c r="F58" s="267" t="s">
        <v>148</v>
      </c>
      <c r="H58" s="264"/>
      <c r="I58" s="264"/>
    </row>
    <row r="59" spans="1:9" x14ac:dyDescent="0.25">
      <c r="A59" s="264" t="s">
        <v>287</v>
      </c>
      <c r="B59" s="264" t="s">
        <v>288</v>
      </c>
      <c r="C59" s="180">
        <v>29788.705000000002</v>
      </c>
      <c r="D59"/>
      <c r="E59" s="180">
        <v>29788.705000000002</v>
      </c>
      <c r="F59" s="267" t="s">
        <v>147</v>
      </c>
      <c r="H59" s="264"/>
      <c r="I59" s="264"/>
    </row>
    <row r="60" spans="1:9" x14ac:dyDescent="0.25">
      <c r="A60" s="264" t="s">
        <v>289</v>
      </c>
      <c r="B60" s="264" t="s">
        <v>290</v>
      </c>
      <c r="C60" s="180">
        <v>8333.3330000000005</v>
      </c>
      <c r="D60"/>
      <c r="E60" s="180">
        <v>8333.3330000000005</v>
      </c>
      <c r="F60" s="267" t="s">
        <v>147</v>
      </c>
      <c r="H60" s="264"/>
      <c r="I60" s="264"/>
    </row>
    <row r="61" spans="1:9" x14ac:dyDescent="0.25">
      <c r="A61" s="264" t="s">
        <v>291</v>
      </c>
      <c r="B61" s="264" t="s">
        <v>292</v>
      </c>
      <c r="C61" s="180">
        <v>23596.37</v>
      </c>
      <c r="D61"/>
      <c r="E61" s="180">
        <v>23596.37</v>
      </c>
      <c r="F61" s="267" t="s">
        <v>153</v>
      </c>
      <c r="H61" s="264"/>
      <c r="I61" s="264"/>
    </row>
    <row r="62" spans="1:9" x14ac:dyDescent="0.25">
      <c r="A62" s="264" t="s">
        <v>293</v>
      </c>
      <c r="B62" s="264" t="s">
        <v>236</v>
      </c>
      <c r="C62" s="180">
        <v>1573.0909999999999</v>
      </c>
      <c r="D62"/>
      <c r="E62" s="180">
        <v>1573.0909999999999</v>
      </c>
      <c r="F62" s="267" t="s">
        <v>153</v>
      </c>
      <c r="H62" s="264"/>
      <c r="I62" s="264"/>
    </row>
    <row r="63" spans="1:9" x14ac:dyDescent="0.25">
      <c r="A63" s="264" t="s">
        <v>294</v>
      </c>
      <c r="B63" s="264" t="s">
        <v>295</v>
      </c>
      <c r="D63">
        <v>89805.407000000007</v>
      </c>
      <c r="E63" s="180">
        <v>-89805.407000000007</v>
      </c>
      <c r="F63" s="267" t="s">
        <v>142</v>
      </c>
      <c r="H63" s="264"/>
      <c r="I63" s="264"/>
    </row>
    <row r="64" spans="1:9" x14ac:dyDescent="0.25">
      <c r="A64" s="264" t="s">
        <v>296</v>
      </c>
      <c r="B64" s="264" t="s">
        <v>297</v>
      </c>
      <c r="C64"/>
      <c r="D64" s="180">
        <v>68640.657999999996</v>
      </c>
      <c r="E64" s="180">
        <v>-68640.657999999996</v>
      </c>
      <c r="F64" s="267" t="s">
        <v>142</v>
      </c>
      <c r="H64" s="264"/>
      <c r="I64" s="264"/>
    </row>
    <row r="65" spans="1:13" x14ac:dyDescent="0.25">
      <c r="A65" s="264" t="s">
        <v>298</v>
      </c>
      <c r="B65" s="264" t="s">
        <v>299</v>
      </c>
      <c r="C65"/>
      <c r="D65" s="180">
        <v>446332.67599999998</v>
      </c>
      <c r="E65" s="180">
        <v>-446332.67599999998</v>
      </c>
      <c r="F65" s="267" t="s">
        <v>142</v>
      </c>
      <c r="H65" s="264"/>
      <c r="I65" s="264"/>
    </row>
    <row r="66" spans="1:13" x14ac:dyDescent="0.25">
      <c r="A66" s="264" t="s">
        <v>300</v>
      </c>
      <c r="B66" s="264" t="s">
        <v>301</v>
      </c>
      <c r="C66"/>
      <c r="D66" s="180">
        <v>312726.75599999999</v>
      </c>
      <c r="E66" s="180">
        <v>-312726.75599999999</v>
      </c>
      <c r="F66" s="267" t="s">
        <v>142</v>
      </c>
      <c r="H66" s="264"/>
      <c r="I66" s="264"/>
    </row>
    <row r="67" spans="1:13" x14ac:dyDescent="0.25">
      <c r="A67" s="264" t="s">
        <v>302</v>
      </c>
      <c r="B67" s="264" t="s">
        <v>303</v>
      </c>
      <c r="C67">
        <v>51725.569000000003</v>
      </c>
      <c r="E67" s="180">
        <v>51725.569000000003</v>
      </c>
      <c r="F67" s="267" t="s">
        <v>142</v>
      </c>
      <c r="H67" s="264"/>
      <c r="I67" s="264"/>
    </row>
    <row r="68" spans="1:13" x14ac:dyDescent="0.25">
      <c r="A68" s="264" t="s">
        <v>304</v>
      </c>
      <c r="B68" s="274" t="s">
        <v>305</v>
      </c>
      <c r="C68" s="245"/>
      <c r="D68" s="276">
        <v>107.756</v>
      </c>
      <c r="E68" s="245">
        <v>-107.756</v>
      </c>
      <c r="F68" s="267" t="s">
        <v>151</v>
      </c>
      <c r="H68" s="264"/>
      <c r="I68" s="264"/>
    </row>
    <row r="69" spans="1:13" x14ac:dyDescent="0.25">
      <c r="A69" s="264" t="s">
        <v>346</v>
      </c>
      <c r="B69" s="264" t="s">
        <v>347</v>
      </c>
      <c r="C69"/>
      <c r="D69" s="180">
        <v>215.065</v>
      </c>
      <c r="E69" s="180">
        <v>-215.065</v>
      </c>
      <c r="F69" s="267" t="s">
        <v>149</v>
      </c>
      <c r="H69" s="264"/>
      <c r="I69" s="264"/>
    </row>
    <row r="70" spans="1:13" x14ac:dyDescent="0.25">
      <c r="A70" s="264"/>
      <c r="B70" s="264"/>
      <c r="C70"/>
      <c r="E70" s="180">
        <f>SUM(E2:E69)</f>
        <v>-3.0931346373108681E-10</v>
      </c>
    </row>
    <row r="71" spans="1:13" ht="16.5" x14ac:dyDescent="0.25">
      <c r="I71" s="247"/>
      <c r="J71" s="248"/>
      <c r="K71" s="247"/>
    </row>
    <row r="72" spans="1:13" ht="47.25" customHeight="1" x14ac:dyDescent="0.25">
      <c r="I72" s="253"/>
      <c r="K72" s="253"/>
      <c r="M72" s="253"/>
    </row>
    <row r="73" spans="1:13" ht="16.5" x14ac:dyDescent="0.3">
      <c r="I73" s="254"/>
      <c r="K73" s="254"/>
      <c r="M73" s="254"/>
    </row>
    <row r="75" spans="1:13" ht="15.75" x14ac:dyDescent="0.25">
      <c r="I75" s="253"/>
      <c r="J75" s="272"/>
      <c r="K75" s="253"/>
      <c r="M75" s="253"/>
    </row>
    <row r="76" spans="1:13" ht="16.5" x14ac:dyDescent="0.3">
      <c r="I76" s="254"/>
      <c r="J76" s="272"/>
      <c r="K76" s="254"/>
      <c r="M76" s="254"/>
    </row>
    <row r="77" spans="1:13" ht="15.75" x14ac:dyDescent="0.25">
      <c r="J77" s="272"/>
    </row>
    <row r="78" spans="1:13" ht="15.75" x14ac:dyDescent="0.25">
      <c r="I78" s="253"/>
      <c r="J78" s="272"/>
      <c r="K78" s="253"/>
      <c r="M78" s="253"/>
    </row>
    <row r="79" spans="1:13" ht="16.5" x14ac:dyDescent="0.3">
      <c r="I79" s="254"/>
      <c r="J79" s="272"/>
      <c r="K79" s="254"/>
      <c r="M79" s="254"/>
    </row>
    <row r="81" spans="2:13" ht="15.75" x14ac:dyDescent="0.25">
      <c r="I81" s="253"/>
      <c r="K81" s="253"/>
      <c r="M81" s="253"/>
    </row>
    <row r="82" spans="2:13" ht="16.5" x14ac:dyDescent="0.3">
      <c r="I82" s="254"/>
      <c r="K82" s="254"/>
      <c r="M82" s="254"/>
    </row>
    <row r="83" spans="2:13" ht="15.75" x14ac:dyDescent="0.25">
      <c r="B83" s="255"/>
      <c r="C83"/>
      <c r="D83"/>
      <c r="E83"/>
      <c r="F83"/>
      <c r="G83"/>
    </row>
    <row r="84" spans="2:13" ht="15.75" x14ac:dyDescent="0.25">
      <c r="B84" s="300"/>
      <c r="C84" s="307"/>
      <c r="D84" s="305"/>
      <c r="E84" s="307"/>
      <c r="F84" s="305"/>
      <c r="G84" s="305"/>
      <c r="I84" s="253"/>
      <c r="K84" s="253"/>
      <c r="M84" s="253"/>
    </row>
    <row r="85" spans="2:13" ht="16.5" x14ac:dyDescent="0.3">
      <c r="B85" s="300"/>
      <c r="C85" s="307"/>
      <c r="D85" s="305"/>
      <c r="E85" s="307"/>
      <c r="F85" s="305"/>
      <c r="G85" s="305"/>
      <c r="I85" s="254"/>
      <c r="K85" s="254"/>
      <c r="M85" s="254"/>
    </row>
    <row r="86" spans="2:13" ht="15.75" x14ac:dyDescent="0.25">
      <c r="B86" s="249"/>
      <c r="C86" s="250"/>
      <c r="D86" s="251"/>
      <c r="E86" s="250"/>
      <c r="F86" s="251"/>
      <c r="G86" s="251"/>
    </row>
    <row r="87" spans="2:13" ht="15.75" x14ac:dyDescent="0.25">
      <c r="B87" s="261"/>
      <c r="C87" s="250"/>
      <c r="D87" s="251"/>
      <c r="E87" s="250"/>
      <c r="F87" s="251"/>
      <c r="G87" s="251"/>
      <c r="I87" s="253"/>
      <c r="K87" s="253"/>
      <c r="M87" s="253"/>
    </row>
    <row r="88" spans="2:13" ht="16.5" x14ac:dyDescent="0.3">
      <c r="B88" s="249"/>
      <c r="C88" s="251"/>
      <c r="D88" s="251"/>
      <c r="E88" s="250"/>
      <c r="F88" s="251"/>
      <c r="G88" s="251"/>
      <c r="I88" s="254"/>
      <c r="K88" s="254"/>
      <c r="M88" s="254"/>
    </row>
    <row r="89" spans="2:13" ht="15.75" x14ac:dyDescent="0.25">
      <c r="B89" s="249"/>
      <c r="C89" s="250"/>
      <c r="D89" s="251"/>
      <c r="E89" s="250"/>
      <c r="F89" s="251"/>
      <c r="G89" s="251"/>
    </row>
    <row r="90" spans="2:13" ht="16.5" x14ac:dyDescent="0.25">
      <c r="B90" s="252"/>
      <c r="C90" s="251"/>
      <c r="D90" s="251"/>
      <c r="E90" s="250"/>
      <c r="F90" s="251"/>
      <c r="G90" s="258"/>
      <c r="I90" s="253"/>
      <c r="K90" s="253"/>
      <c r="M90" s="253"/>
    </row>
    <row r="91" spans="2:13" ht="16.5" x14ac:dyDescent="0.3">
      <c r="B91" s="255"/>
      <c r="C91" s="250"/>
      <c r="D91" s="251"/>
      <c r="E91" s="250"/>
      <c r="F91" s="251"/>
      <c r="G91"/>
      <c r="I91" s="254"/>
      <c r="K91" s="254"/>
      <c r="M91" s="254"/>
    </row>
    <row r="92" spans="2:13" ht="15.75" x14ac:dyDescent="0.25">
      <c r="C92" s="251"/>
      <c r="D92" s="251"/>
      <c r="E92" s="250"/>
      <c r="F92" s="251"/>
    </row>
    <row r="93" spans="2:13" ht="15.75" x14ac:dyDescent="0.25">
      <c r="C93" s="250"/>
      <c r="D93" s="251"/>
      <c r="E93" s="250"/>
      <c r="F93" s="251"/>
      <c r="I93" s="253"/>
      <c r="K93" s="253"/>
      <c r="M93" s="253"/>
    </row>
    <row r="94" spans="2:13" ht="16.5" x14ac:dyDescent="0.3">
      <c r="C94" s="251"/>
      <c r="D94" s="251"/>
      <c r="E94" s="250"/>
      <c r="F94" s="251"/>
      <c r="I94" s="254"/>
      <c r="K94" s="254"/>
      <c r="M94" s="254"/>
    </row>
    <row r="95" spans="2:13" ht="15.75" x14ac:dyDescent="0.25">
      <c r="C95" s="250"/>
      <c r="D95" s="251"/>
      <c r="E95" s="250"/>
      <c r="F95" s="251"/>
    </row>
    <row r="96" spans="2:13" ht="15.75" x14ac:dyDescent="0.25">
      <c r="C96" s="251"/>
      <c r="D96" s="251"/>
      <c r="E96" s="250"/>
      <c r="F96" s="251"/>
      <c r="I96" s="253"/>
      <c r="K96" s="253"/>
      <c r="M96" s="253"/>
    </row>
    <row r="97" spans="2:13" ht="16.5" x14ac:dyDescent="0.3">
      <c r="B97" s="301"/>
      <c r="C97" s="306"/>
      <c r="D97" s="301"/>
      <c r="E97" s="306"/>
      <c r="F97" s="246"/>
      <c r="G97" s="246"/>
      <c r="I97" s="254"/>
      <c r="K97" s="254"/>
      <c r="M97" s="254"/>
    </row>
    <row r="98" spans="2:13" x14ac:dyDescent="0.25">
      <c r="B98" s="301"/>
      <c r="C98" s="306"/>
      <c r="D98" s="301"/>
      <c r="E98" s="306"/>
      <c r="F98" s="246"/>
      <c r="G98" s="246"/>
    </row>
    <row r="99" spans="2:13" ht="15.75" x14ac:dyDescent="0.25">
      <c r="B99" s="249"/>
      <c r="C99" s="250"/>
      <c r="D99" s="246"/>
      <c r="E99" s="250"/>
      <c r="F99" s="246"/>
      <c r="G99" s="246"/>
      <c r="I99" s="253"/>
      <c r="K99" s="253"/>
      <c r="M99" s="253"/>
    </row>
    <row r="100" spans="2:13" ht="16.5" x14ac:dyDescent="0.3">
      <c r="B100" s="249"/>
      <c r="C100" s="250"/>
      <c r="D100" s="246"/>
      <c r="E100" s="250"/>
      <c r="F100" s="246"/>
      <c r="G100" s="246"/>
      <c r="I100" s="254"/>
      <c r="K100" s="254"/>
      <c r="M100" s="254"/>
    </row>
    <row r="101" spans="2:13" ht="15.75" x14ac:dyDescent="0.25">
      <c r="B101" s="249"/>
      <c r="C101" s="251"/>
      <c r="D101" s="246"/>
      <c r="E101" s="250"/>
      <c r="F101" s="246"/>
      <c r="G101" s="246"/>
    </row>
    <row r="102" spans="2:13" ht="15.75" x14ac:dyDescent="0.25">
      <c r="B102" s="300"/>
      <c r="C102" s="304"/>
      <c r="D102" s="301"/>
      <c r="E102" s="302"/>
      <c r="F102" s="301"/>
      <c r="G102" s="301"/>
      <c r="I102" s="253"/>
      <c r="K102" s="253"/>
      <c r="M102" s="253"/>
    </row>
    <row r="103" spans="2:13" x14ac:dyDescent="0.25">
      <c r="B103" s="300"/>
      <c r="C103" s="304"/>
      <c r="D103" s="301"/>
      <c r="E103" s="302"/>
      <c r="F103" s="301"/>
      <c r="G103" s="301"/>
    </row>
    <row r="104" spans="2:13" x14ac:dyDescent="0.25">
      <c r="B104" s="300"/>
      <c r="C104" s="303"/>
      <c r="D104" s="302"/>
      <c r="E104" s="302"/>
      <c r="F104" s="301"/>
      <c r="G104" s="301"/>
    </row>
    <row r="105" spans="2:13" x14ac:dyDescent="0.25">
      <c r="B105" s="300"/>
      <c r="C105" s="304"/>
      <c r="D105" s="302"/>
      <c r="E105" s="302"/>
      <c r="F105" s="301"/>
      <c r="G105" s="301"/>
    </row>
    <row r="106" spans="2:13" ht="15.75" x14ac:dyDescent="0.25">
      <c r="B106" s="249"/>
      <c r="C106" s="260"/>
      <c r="D106" s="256"/>
      <c r="E106" s="260"/>
      <c r="F106" s="246"/>
      <c r="G106" s="246"/>
    </row>
    <row r="107" spans="2:13" ht="17.25" thickBot="1" x14ac:dyDescent="0.3">
      <c r="B107" s="259"/>
      <c r="C107" s="257"/>
      <c r="D107" s="246"/>
      <c r="E107" s="257"/>
      <c r="F107" s="246"/>
      <c r="G107" s="246"/>
    </row>
    <row r="108" spans="2:13" ht="15.75" thickTop="1" x14ac:dyDescent="0.25"/>
  </sheetData>
  <autoFilter ref="A1:O71" xr:uid="{84D2972F-1352-485A-8CCC-53E4B5D64034}"/>
  <mergeCells count="22">
    <mergeCell ref="G84:G85"/>
    <mergeCell ref="B97:B98"/>
    <mergeCell ref="C97:C98"/>
    <mergeCell ref="D97:D98"/>
    <mergeCell ref="E97:E98"/>
    <mergeCell ref="B84:B85"/>
    <mergeCell ref="C84:C85"/>
    <mergeCell ref="D84:D85"/>
    <mergeCell ref="E84:E85"/>
    <mergeCell ref="F84:F85"/>
    <mergeCell ref="B102:B103"/>
    <mergeCell ref="D102:D103"/>
    <mergeCell ref="E102:E103"/>
    <mergeCell ref="G102:G103"/>
    <mergeCell ref="G104:G105"/>
    <mergeCell ref="F102:F103"/>
    <mergeCell ref="B104:B105"/>
    <mergeCell ref="C104:C105"/>
    <mergeCell ref="D104:D105"/>
    <mergeCell ref="E104:E105"/>
    <mergeCell ref="F104:F105"/>
    <mergeCell ref="C102:C10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8DC7-08F7-47EC-9F9E-55BBA3CC680F}">
  <dimension ref="A1:B26"/>
  <sheetViews>
    <sheetView workbookViewId="0">
      <selection activeCell="C29" sqref="C29"/>
    </sheetView>
  </sheetViews>
  <sheetFormatPr baseColWidth="10" defaultRowHeight="15" x14ac:dyDescent="0.25"/>
  <cols>
    <col min="1" max="1" width="21" bestFit="1" customWidth="1"/>
    <col min="2" max="2" width="16.5703125" bestFit="1" customWidth="1"/>
  </cols>
  <sheetData>
    <row r="1" spans="1:2" x14ac:dyDescent="0.25">
      <c r="A1" s="268" t="s">
        <v>342</v>
      </c>
      <c r="B1" t="s">
        <v>345</v>
      </c>
    </row>
    <row r="2" spans="1:2" x14ac:dyDescent="0.25">
      <c r="A2" s="269" t="s">
        <v>127</v>
      </c>
      <c r="B2" s="151">
        <v>3081.0799999999581</v>
      </c>
    </row>
    <row r="3" spans="1:2" x14ac:dyDescent="0.25">
      <c r="A3" s="269" t="s">
        <v>129</v>
      </c>
      <c r="B3" s="151">
        <v>118721.97400000003</v>
      </c>
    </row>
    <row r="4" spans="1:2" x14ac:dyDescent="0.25">
      <c r="A4" s="269" t="s">
        <v>132</v>
      </c>
      <c r="B4" s="151">
        <v>136145.09100000004</v>
      </c>
    </row>
    <row r="5" spans="1:2" x14ac:dyDescent="0.25">
      <c r="A5" s="269" t="s">
        <v>120</v>
      </c>
      <c r="B5" s="151">
        <v>253794.128</v>
      </c>
    </row>
    <row r="6" spans="1:2" x14ac:dyDescent="0.25">
      <c r="A6" s="269" t="s">
        <v>121</v>
      </c>
      <c r="B6" s="151">
        <v>-31437.853999999999</v>
      </c>
    </row>
    <row r="7" spans="1:2" x14ac:dyDescent="0.25">
      <c r="A7" s="269" t="s">
        <v>122</v>
      </c>
      <c r="B7" s="151">
        <v>12942.77</v>
      </c>
    </row>
    <row r="8" spans="1:2" x14ac:dyDescent="0.25">
      <c r="A8" s="269" t="s">
        <v>124</v>
      </c>
      <c r="B8" s="151">
        <v>8333.3340000000007</v>
      </c>
    </row>
    <row r="9" spans="1:2" x14ac:dyDescent="0.25">
      <c r="A9" s="269" t="s">
        <v>125</v>
      </c>
      <c r="B9" s="151">
        <v>141925.285</v>
      </c>
    </row>
    <row r="10" spans="1:2" x14ac:dyDescent="0.25">
      <c r="A10" s="269" t="s">
        <v>133</v>
      </c>
      <c r="B10" s="151">
        <v>-20000</v>
      </c>
    </row>
    <row r="11" spans="1:2" x14ac:dyDescent="0.25">
      <c r="A11" s="269" t="s">
        <v>135</v>
      </c>
      <c r="B11" s="151">
        <v>16057.703</v>
      </c>
    </row>
    <row r="12" spans="1:2" x14ac:dyDescent="0.25">
      <c r="A12" s="269" t="s">
        <v>136</v>
      </c>
      <c r="B12" s="151">
        <v>-117108.85600000001</v>
      </c>
    </row>
    <row r="13" spans="1:2" x14ac:dyDescent="0.25">
      <c r="A13" s="269" t="s">
        <v>139</v>
      </c>
      <c r="B13" s="151">
        <v>-159296.09800000011</v>
      </c>
    </row>
    <row r="14" spans="1:2" x14ac:dyDescent="0.25">
      <c r="A14" s="269" t="s">
        <v>140</v>
      </c>
      <c r="B14" s="151">
        <v>-208850.03899999996</v>
      </c>
    </row>
    <row r="15" spans="1:2" x14ac:dyDescent="0.25">
      <c r="A15" s="269" t="s">
        <v>141</v>
      </c>
      <c r="B15" s="151">
        <v>-22813.837000000003</v>
      </c>
    </row>
    <row r="16" spans="1:2" x14ac:dyDescent="0.25">
      <c r="A16" s="269" t="s">
        <v>142</v>
      </c>
      <c r="B16" s="151">
        <v>-865779.92799999996</v>
      </c>
    </row>
    <row r="17" spans="1:2" x14ac:dyDescent="0.25">
      <c r="A17" s="269" t="s">
        <v>151</v>
      </c>
      <c r="B17" s="151">
        <v>-107.756</v>
      </c>
    </row>
    <row r="18" spans="1:2" x14ac:dyDescent="0.25">
      <c r="A18" s="269" t="s">
        <v>152</v>
      </c>
      <c r="B18" s="151">
        <v>371.39499999999998</v>
      </c>
    </row>
    <row r="19" spans="1:2" x14ac:dyDescent="0.25">
      <c r="A19" s="269" t="s">
        <v>153</v>
      </c>
      <c r="B19" s="151">
        <v>25169.460999999999</v>
      </c>
    </row>
    <row r="20" spans="1:2" x14ac:dyDescent="0.25">
      <c r="A20" s="269" t="s">
        <v>145</v>
      </c>
      <c r="B20" s="151">
        <v>537322.83699999994</v>
      </c>
    </row>
    <row r="21" spans="1:2" x14ac:dyDescent="0.25">
      <c r="A21" s="269" t="s">
        <v>146</v>
      </c>
      <c r="B21" s="151">
        <v>14612.206000000002</v>
      </c>
    </row>
    <row r="22" spans="1:2" x14ac:dyDescent="0.25">
      <c r="A22" s="269" t="s">
        <v>147</v>
      </c>
      <c r="B22" s="151">
        <v>38122.038</v>
      </c>
    </row>
    <row r="23" spans="1:2" x14ac:dyDescent="0.25">
      <c r="A23" s="269" t="s">
        <v>148</v>
      </c>
      <c r="B23" s="151">
        <v>109626.11899999999</v>
      </c>
    </row>
    <row r="24" spans="1:2" x14ac:dyDescent="0.25">
      <c r="A24" s="269" t="s">
        <v>149</v>
      </c>
      <c r="B24" s="151">
        <v>9168.9470000000001</v>
      </c>
    </row>
    <row r="25" spans="1:2" x14ac:dyDescent="0.25">
      <c r="A25" s="269" t="s">
        <v>343</v>
      </c>
      <c r="B25" s="151">
        <v>-3.0931346373108681E-10</v>
      </c>
    </row>
    <row r="26" spans="1:2" x14ac:dyDescent="0.25">
      <c r="A26" s="269" t="s">
        <v>344</v>
      </c>
      <c r="B26" s="151">
        <v>-3.6752112464455422E-10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8"/>
  <sheetViews>
    <sheetView showGridLines="0" showZeros="0" topLeftCell="B26" zoomScaleNormal="100" zoomScaleSheetLayoutView="80" workbookViewId="0">
      <selection activeCell="I43" sqref="I43"/>
    </sheetView>
  </sheetViews>
  <sheetFormatPr baseColWidth="10" defaultColWidth="13.140625" defaultRowHeight="0" customHeight="1" zeroHeight="1" x14ac:dyDescent="0.25"/>
  <cols>
    <col min="1" max="1" width="4" style="16" customWidth="1"/>
    <col min="2" max="2" width="2" style="16" customWidth="1"/>
    <col min="3" max="3" width="5.140625" style="16" customWidth="1"/>
    <col min="4" max="4" width="2.28515625" style="16" hidden="1" customWidth="1"/>
    <col min="5" max="5" width="33.85546875" style="16" customWidth="1"/>
    <col min="6" max="6" width="15.42578125" style="22" customWidth="1"/>
    <col min="7" max="7" width="13.140625" style="22" hidden="1" customWidth="1"/>
    <col min="8" max="8" width="0.140625" style="22" hidden="1" customWidth="1"/>
    <col min="9" max="9" width="21.28515625" style="16" customWidth="1"/>
    <col min="10" max="10" width="13.140625" style="16" hidden="1" customWidth="1"/>
    <col min="11" max="11" width="0.140625" style="16" customWidth="1"/>
    <col min="12" max="12" width="15.85546875" style="16" customWidth="1"/>
    <col min="13" max="16384" width="13.140625" style="16"/>
  </cols>
  <sheetData>
    <row r="2" spans="1:14" ht="16.5" x14ac:dyDescent="0.3">
      <c r="C2" s="311" t="s">
        <v>186</v>
      </c>
      <c r="D2" s="311"/>
      <c r="E2" s="311"/>
      <c r="F2" s="311"/>
      <c r="G2" s="311"/>
      <c r="H2" s="311"/>
      <c r="I2" s="311"/>
      <c r="J2" s="311"/>
      <c r="K2" s="311"/>
      <c r="L2" s="311"/>
      <c r="N2" s="17"/>
    </row>
    <row r="3" spans="1:14" ht="13.5" customHeight="1" x14ac:dyDescent="0.3">
      <c r="N3" s="17"/>
    </row>
    <row r="4" spans="1:14" ht="16.5" x14ac:dyDescent="0.3">
      <c r="C4" s="309" t="s">
        <v>356</v>
      </c>
      <c r="D4" s="309"/>
      <c r="E4" s="309"/>
      <c r="F4" s="309"/>
      <c r="G4" s="309"/>
      <c r="H4" s="309"/>
      <c r="I4" s="309"/>
      <c r="J4" s="309"/>
      <c r="K4" s="309"/>
      <c r="L4" s="309"/>
      <c r="N4" s="17"/>
    </row>
    <row r="5" spans="1:14" ht="13.5" customHeight="1" x14ac:dyDescent="0.3">
      <c r="C5" s="308"/>
      <c r="D5" s="308"/>
      <c r="E5" s="308"/>
      <c r="F5" s="308"/>
      <c r="G5" s="308"/>
      <c r="H5" s="308"/>
      <c r="I5" s="308"/>
      <c r="J5" s="308"/>
      <c r="K5" s="308"/>
      <c r="N5" s="17"/>
    </row>
    <row r="6" spans="1:14" ht="16.5" x14ac:dyDescent="0.3">
      <c r="C6" s="310" t="s">
        <v>2</v>
      </c>
      <c r="D6" s="310"/>
      <c r="E6" s="310"/>
      <c r="F6" s="310"/>
      <c r="G6" s="310"/>
      <c r="H6" s="310"/>
      <c r="I6" s="310"/>
      <c r="J6" s="310"/>
      <c r="K6" s="310"/>
      <c r="L6" s="310"/>
      <c r="N6" s="17"/>
    </row>
    <row r="7" spans="1:14" ht="13.5" customHeight="1" x14ac:dyDescent="0.3">
      <c r="C7" s="20"/>
      <c r="D7" s="20"/>
      <c r="E7" s="20"/>
      <c r="F7" s="21"/>
      <c r="G7" s="21"/>
      <c r="H7" s="21"/>
      <c r="I7" s="20"/>
      <c r="J7" s="20"/>
      <c r="N7" s="17"/>
    </row>
    <row r="8" spans="1:14" ht="13.5" customHeight="1" thickBot="1" x14ac:dyDescent="0.35">
      <c r="N8" s="17"/>
    </row>
    <row r="9" spans="1:14" s="25" customFormat="1" ht="20.100000000000001" customHeight="1" thickTop="1" thickBot="1" x14ac:dyDescent="0.35">
      <c r="C9" s="23"/>
      <c r="D9" s="69"/>
      <c r="E9" s="271" t="s">
        <v>3</v>
      </c>
      <c r="F9" s="24" t="s">
        <v>4</v>
      </c>
      <c r="G9" s="69"/>
      <c r="I9" s="183">
        <v>46022</v>
      </c>
      <c r="J9" s="183"/>
      <c r="K9" s="170"/>
      <c r="L9" s="184">
        <v>45657</v>
      </c>
      <c r="N9" s="17"/>
    </row>
    <row r="10" spans="1:14" ht="17.25" thickTop="1" x14ac:dyDescent="0.3">
      <c r="C10" s="26"/>
      <c r="D10" s="27"/>
      <c r="E10" s="27"/>
      <c r="F10" s="28"/>
      <c r="G10" s="29"/>
      <c r="I10" s="173"/>
      <c r="J10" s="173"/>
      <c r="K10" s="177"/>
      <c r="L10" s="30"/>
      <c r="N10" s="17"/>
    </row>
    <row r="11" spans="1:14" ht="16.5" x14ac:dyDescent="0.3">
      <c r="C11" s="31" t="s">
        <v>5</v>
      </c>
      <c r="D11" s="32"/>
      <c r="E11" s="32"/>
      <c r="F11" s="33"/>
      <c r="G11" s="34"/>
      <c r="I11" s="170"/>
      <c r="J11" s="170"/>
      <c r="K11" s="177"/>
      <c r="L11" s="35"/>
      <c r="N11" s="17"/>
    </row>
    <row r="12" spans="1:14" ht="13.5" customHeight="1" x14ac:dyDescent="0.3">
      <c r="C12" s="36"/>
      <c r="F12" s="33"/>
      <c r="G12" s="34"/>
      <c r="I12" s="170"/>
      <c r="J12" s="170"/>
      <c r="K12" s="177"/>
      <c r="L12" s="35"/>
      <c r="N12" s="17"/>
    </row>
    <row r="13" spans="1:14" ht="16.5" x14ac:dyDescent="0.3">
      <c r="C13" s="36"/>
      <c r="D13" s="37" t="s">
        <v>6</v>
      </c>
      <c r="F13" s="33"/>
      <c r="G13" s="34"/>
      <c r="I13" s="170"/>
      <c r="J13" s="170"/>
      <c r="K13" s="177"/>
      <c r="L13" s="35"/>
      <c r="N13" s="17"/>
    </row>
    <row r="14" spans="1:14" ht="13.5" customHeight="1" x14ac:dyDescent="0.3">
      <c r="C14" s="36"/>
      <c r="F14" s="33"/>
      <c r="G14" s="34"/>
      <c r="I14" s="170"/>
      <c r="J14" s="170"/>
      <c r="K14" s="177"/>
      <c r="L14" s="35"/>
      <c r="N14" s="17"/>
    </row>
    <row r="15" spans="1:14" ht="16.5" x14ac:dyDescent="0.3">
      <c r="A15" s="16" t="s">
        <v>118</v>
      </c>
      <c r="C15" s="36"/>
      <c r="E15" s="16" t="s">
        <v>7</v>
      </c>
      <c r="F15" s="33"/>
      <c r="G15" s="34"/>
      <c r="I15" s="174">
        <v>45000</v>
      </c>
      <c r="J15" s="174"/>
      <c r="K15" s="177"/>
      <c r="L15" s="54">
        <v>45000</v>
      </c>
      <c r="M15" s="280">
        <f>+L15-I15</f>
        <v>0</v>
      </c>
      <c r="N15" s="17"/>
    </row>
    <row r="16" spans="1:14" ht="16.5" x14ac:dyDescent="0.3">
      <c r="A16" s="16" t="s">
        <v>119</v>
      </c>
      <c r="C16" s="36"/>
      <c r="E16" s="16" t="s">
        <v>8</v>
      </c>
      <c r="F16" s="33"/>
      <c r="G16" s="34"/>
      <c r="I16" s="174">
        <f>IFERROR(VLOOKUP(A16,#REF!,2,0),0)</f>
        <v>0</v>
      </c>
      <c r="J16" s="174"/>
      <c r="K16" s="177"/>
      <c r="L16" s="54">
        <v>0</v>
      </c>
      <c r="N16" s="17"/>
    </row>
    <row r="17" spans="1:20" ht="16.5" x14ac:dyDescent="0.3">
      <c r="C17" s="36"/>
      <c r="F17" s="33"/>
      <c r="G17" s="34"/>
      <c r="I17" s="171">
        <f>+I15-I16</f>
        <v>45000</v>
      </c>
      <c r="J17" s="170"/>
      <c r="K17" s="177"/>
      <c r="L17" s="55">
        <f>+L15</f>
        <v>45000</v>
      </c>
      <c r="N17" s="17"/>
    </row>
    <row r="18" spans="1:20" ht="16.5" x14ac:dyDescent="0.3">
      <c r="C18" s="36"/>
      <c r="F18" s="33"/>
      <c r="G18" s="34"/>
      <c r="I18" s="174">
        <f>-IFERROR(VLOOKUP(A18,#REF!,2,0),0)</f>
        <v>0</v>
      </c>
      <c r="J18" s="170"/>
      <c r="K18" s="177"/>
      <c r="L18" s="54">
        <v>0</v>
      </c>
      <c r="N18" s="17"/>
    </row>
    <row r="19" spans="1:20" ht="16.5" x14ac:dyDescent="0.3">
      <c r="A19" s="16" t="s">
        <v>120</v>
      </c>
      <c r="C19" s="36"/>
      <c r="E19" s="16" t="s">
        <v>10</v>
      </c>
      <c r="F19" s="33"/>
      <c r="G19" s="34"/>
      <c r="I19" s="174">
        <v>341505</v>
      </c>
      <c r="J19" s="170"/>
      <c r="K19" s="177"/>
      <c r="L19" s="54">
        <v>338344</v>
      </c>
      <c r="M19" s="280">
        <f>+I19-L19</f>
        <v>3161</v>
      </c>
      <c r="N19" s="17"/>
      <c r="O19" s="77">
        <f>+I20-L20</f>
        <v>-66450</v>
      </c>
    </row>
    <row r="20" spans="1:20" ht="16.5" x14ac:dyDescent="0.3">
      <c r="A20" s="16" t="s">
        <v>121</v>
      </c>
      <c r="C20" s="36"/>
      <c r="E20" s="16" t="s">
        <v>8</v>
      </c>
      <c r="F20" s="33"/>
      <c r="G20" s="34"/>
      <c r="I20" s="174">
        <v>-272194</v>
      </c>
      <c r="J20" s="170"/>
      <c r="K20" s="177"/>
      <c r="L20" s="54">
        <v>-205744</v>
      </c>
      <c r="M20" s="280">
        <f>+L20-I20</f>
        <v>66450</v>
      </c>
      <c r="N20" s="133"/>
    </row>
    <row r="21" spans="1:20" ht="16.5" x14ac:dyDescent="0.3">
      <c r="C21" s="36"/>
      <c r="F21" s="33" t="s">
        <v>9</v>
      </c>
      <c r="G21" s="34"/>
      <c r="I21" s="171">
        <f>+I20+I19</f>
        <v>69311</v>
      </c>
      <c r="J21" s="170"/>
      <c r="K21" s="177"/>
      <c r="L21" s="55">
        <f>+L19+L20</f>
        <v>132600</v>
      </c>
      <c r="M21" s="77">
        <f>+L21-I21</f>
        <v>63289</v>
      </c>
      <c r="N21" s="133"/>
    </row>
    <row r="22" spans="1:20" ht="16.5" x14ac:dyDescent="0.3">
      <c r="C22" s="36"/>
      <c r="F22" s="33"/>
      <c r="G22" s="34"/>
      <c r="I22" s="174"/>
      <c r="J22" s="170"/>
      <c r="K22" s="177"/>
      <c r="L22" s="54"/>
      <c r="N22" s="133"/>
    </row>
    <row r="23" spans="1:20" ht="13.5" customHeight="1" x14ac:dyDescent="0.3">
      <c r="C23" s="36"/>
      <c r="F23" s="33"/>
      <c r="G23" s="34"/>
      <c r="I23" s="174"/>
      <c r="J23" s="170"/>
      <c r="K23" s="177"/>
      <c r="L23" s="54"/>
      <c r="N23" s="17"/>
    </row>
    <row r="24" spans="1:20" ht="13.5" customHeight="1" x14ac:dyDescent="0.3">
      <c r="C24" s="36"/>
      <c r="E24" s="16" t="s">
        <v>173</v>
      </c>
      <c r="F24" s="33"/>
      <c r="G24" s="34"/>
      <c r="I24" s="174"/>
      <c r="J24" s="170"/>
      <c r="K24" s="177"/>
      <c r="L24" s="54"/>
      <c r="N24" s="17"/>
    </row>
    <row r="25" spans="1:20" ht="13.5" customHeight="1" x14ac:dyDescent="0.3">
      <c r="C25" s="36"/>
      <c r="F25" s="33"/>
      <c r="G25" s="34"/>
      <c r="I25" s="169">
        <f>SUM(I24)</f>
        <v>0</v>
      </c>
      <c r="J25" s="170"/>
      <c r="K25" s="177"/>
      <c r="L25" s="131">
        <v>0</v>
      </c>
      <c r="N25" s="17"/>
    </row>
    <row r="26" spans="1:20" ht="13.5" customHeight="1" x14ac:dyDescent="0.3">
      <c r="C26" s="36"/>
      <c r="F26" s="33"/>
      <c r="G26" s="34"/>
      <c r="I26" s="174"/>
      <c r="J26" s="170"/>
      <c r="K26" s="177"/>
      <c r="L26" s="54"/>
      <c r="N26" s="17"/>
      <c r="S26" s="16">
        <v>31635</v>
      </c>
      <c r="T26" s="77">
        <f>+L21</f>
        <v>132600</v>
      </c>
    </row>
    <row r="27" spans="1:20" ht="16.5" x14ac:dyDescent="0.3">
      <c r="A27" s="16" t="s">
        <v>122</v>
      </c>
      <c r="C27" s="36"/>
      <c r="E27" s="16" t="s">
        <v>11</v>
      </c>
      <c r="F27" s="33"/>
      <c r="G27" s="34"/>
      <c r="I27" s="174">
        <v>14293</v>
      </c>
      <c r="J27" s="170"/>
      <c r="K27" s="177"/>
      <c r="L27" s="54">
        <v>14293</v>
      </c>
      <c r="M27" s="77">
        <f>+I27-L27</f>
        <v>0</v>
      </c>
      <c r="N27" s="17"/>
      <c r="S27" s="16">
        <v>16667</v>
      </c>
      <c r="T27" s="77">
        <f>+L33</f>
        <v>0</v>
      </c>
    </row>
    <row r="28" spans="1:20" ht="16.5" x14ac:dyDescent="0.3">
      <c r="A28" s="16" t="s">
        <v>123</v>
      </c>
      <c r="C28" s="36"/>
      <c r="E28" s="16" t="s">
        <v>12</v>
      </c>
      <c r="F28" s="33"/>
      <c r="G28" s="34"/>
      <c r="I28" s="174">
        <f>-IFERROR(VLOOKUP(A28,#REF!,2,0),0)</f>
        <v>0</v>
      </c>
      <c r="J28" s="170"/>
      <c r="K28" s="177"/>
      <c r="L28" s="54">
        <v>0</v>
      </c>
      <c r="N28" s="17"/>
      <c r="S28" s="16">
        <f>SUM(S26:S27)</f>
        <v>48302</v>
      </c>
      <c r="T28" s="77">
        <f>SUM(T26:T27)</f>
        <v>132600</v>
      </c>
    </row>
    <row r="29" spans="1:20" ht="16.5" x14ac:dyDescent="0.3">
      <c r="C29" s="36"/>
      <c r="F29" s="33"/>
      <c r="G29" s="34"/>
      <c r="I29" s="171">
        <f>SUM(I27:I28)</f>
        <v>14293</v>
      </c>
      <c r="J29" s="189"/>
      <c r="K29" s="177"/>
      <c r="L29" s="55">
        <f>+L27</f>
        <v>14293</v>
      </c>
      <c r="N29" s="17"/>
      <c r="T29" s="16">
        <v>56635</v>
      </c>
    </row>
    <row r="30" spans="1:20" ht="16.5" x14ac:dyDescent="0.3">
      <c r="C30" s="36"/>
      <c r="F30" s="33"/>
      <c r="G30" s="34"/>
      <c r="I30" s="170"/>
      <c r="J30" s="170"/>
      <c r="K30" s="177"/>
      <c r="L30" s="35"/>
      <c r="N30" s="17"/>
    </row>
    <row r="31" spans="1:20" s="42" customFormat="1" ht="16.5" customHeight="1" x14ac:dyDescent="0.3">
      <c r="C31" s="38"/>
      <c r="D31" s="39" t="s">
        <v>13</v>
      </c>
      <c r="E31" s="39"/>
      <c r="F31" s="40"/>
      <c r="G31" s="41"/>
      <c r="I31" s="171">
        <f>+I29+I21+I17</f>
        <v>128604</v>
      </c>
      <c r="J31" s="170"/>
      <c r="K31" s="190"/>
      <c r="L31" s="55">
        <f>+L21+L29+L17</f>
        <v>191893</v>
      </c>
      <c r="N31" s="17"/>
      <c r="O31" s="17"/>
      <c r="T31" s="182">
        <f>+T29-T28</f>
        <v>-75965</v>
      </c>
    </row>
    <row r="32" spans="1:20" s="42" customFormat="1" ht="10.5" customHeight="1" x14ac:dyDescent="0.3">
      <c r="C32" s="43"/>
      <c r="F32" s="44"/>
      <c r="G32" s="41"/>
      <c r="I32" s="190"/>
      <c r="J32" s="170"/>
      <c r="K32" s="190"/>
      <c r="L32" s="191"/>
      <c r="N32" s="17"/>
      <c r="O32" s="17"/>
      <c r="T32" s="42">
        <v>9143</v>
      </c>
    </row>
    <row r="33" spans="1:20" s="42" customFormat="1" ht="15" customHeight="1" x14ac:dyDescent="0.3">
      <c r="A33" s="42" t="s">
        <v>124</v>
      </c>
      <c r="C33" s="43"/>
      <c r="E33" s="16" t="s">
        <v>14</v>
      </c>
      <c r="F33" s="33"/>
      <c r="G33" s="41"/>
      <c r="I33" s="174">
        <v>0</v>
      </c>
      <c r="J33" s="170"/>
      <c r="K33" s="190"/>
      <c r="L33" s="54"/>
      <c r="M33" s="182">
        <f>+I33-L33</f>
        <v>0</v>
      </c>
      <c r="N33" s="17"/>
      <c r="O33" s="17"/>
      <c r="T33" s="182">
        <f>+T31-T32</f>
        <v>-85108</v>
      </c>
    </row>
    <row r="34" spans="1:20" ht="10.5" customHeight="1" thickBot="1" x14ac:dyDescent="0.35">
      <c r="C34" s="36"/>
      <c r="F34" s="33"/>
      <c r="G34" s="34"/>
      <c r="I34" s="174">
        <f>IFERROR(VLOOKUP(A34,#REF!,2,0),0)</f>
        <v>0</v>
      </c>
      <c r="J34" s="170"/>
      <c r="K34" s="177"/>
      <c r="L34" s="54">
        <v>0</v>
      </c>
      <c r="N34" s="17"/>
      <c r="O34" s="17"/>
    </row>
    <row r="35" spans="1:20" s="42" customFormat="1" ht="15" customHeight="1" thickTop="1" thickBot="1" x14ac:dyDescent="0.35">
      <c r="C35" s="45" t="s">
        <v>15</v>
      </c>
      <c r="D35" s="46"/>
      <c r="E35" s="46"/>
      <c r="F35" s="24"/>
      <c r="G35" s="69"/>
      <c r="I35" s="192">
        <f>+I31</f>
        <v>128604</v>
      </c>
      <c r="J35" s="193"/>
      <c r="K35" s="190"/>
      <c r="L35" s="194">
        <f>+L33+L31</f>
        <v>191893</v>
      </c>
      <c r="N35" s="17"/>
      <c r="O35" s="17"/>
    </row>
    <row r="36" spans="1:20" ht="12" customHeight="1" thickTop="1" x14ac:dyDescent="0.3">
      <c r="C36" s="26"/>
      <c r="D36" s="27"/>
      <c r="E36" s="27"/>
      <c r="F36" s="33"/>
      <c r="G36" s="25"/>
      <c r="I36" s="173"/>
      <c r="J36" s="170"/>
      <c r="K36" s="177"/>
      <c r="L36" s="30"/>
      <c r="N36" s="17"/>
      <c r="O36" s="17"/>
    </row>
    <row r="37" spans="1:20" ht="16.5" x14ac:dyDescent="0.3">
      <c r="C37" s="31" t="s">
        <v>16</v>
      </c>
      <c r="D37" s="32"/>
      <c r="E37" s="32"/>
      <c r="F37" s="33"/>
      <c r="G37" s="25"/>
      <c r="I37" s="170"/>
      <c r="J37" s="170"/>
      <c r="K37" s="177"/>
      <c r="L37" s="35"/>
      <c r="N37" s="17"/>
      <c r="O37" s="17"/>
    </row>
    <row r="38" spans="1:20" ht="12" customHeight="1" x14ac:dyDescent="0.3">
      <c r="C38" s="36"/>
      <c r="F38" s="33"/>
      <c r="G38" s="25"/>
      <c r="I38" s="174">
        <f>-IFERROR(VLOOKUP(A38,#REF!,2,0),0)</f>
        <v>0</v>
      </c>
      <c r="J38" s="170"/>
      <c r="K38" s="177"/>
      <c r="L38" s="54">
        <v>0</v>
      </c>
      <c r="N38" s="17"/>
      <c r="O38" s="17"/>
    </row>
    <row r="39" spans="1:20" ht="16.5" x14ac:dyDescent="0.3">
      <c r="A39" s="16" t="s">
        <v>125</v>
      </c>
      <c r="C39" s="36"/>
      <c r="E39" s="16" t="s">
        <v>17</v>
      </c>
      <c r="F39" s="33"/>
      <c r="G39" s="25"/>
      <c r="I39" s="174">
        <v>100385</v>
      </c>
      <c r="J39" s="170"/>
      <c r="K39" s="177"/>
      <c r="L39" s="54">
        <v>89120</v>
      </c>
      <c r="M39" s="77">
        <f>+L39-I39</f>
        <v>-11265</v>
      </c>
      <c r="N39" s="17"/>
      <c r="O39" s="17"/>
    </row>
    <row r="40" spans="1:20" ht="16.5" x14ac:dyDescent="0.3">
      <c r="A40" s="16" t="s">
        <v>126</v>
      </c>
      <c r="C40" s="36"/>
      <c r="E40" s="16" t="s">
        <v>12</v>
      </c>
      <c r="F40" s="33"/>
      <c r="G40" s="25"/>
      <c r="I40" s="174">
        <f>-IFERROR(VLOOKUP(A40,#REF!,2,0),0)</f>
        <v>0</v>
      </c>
      <c r="J40" s="170"/>
      <c r="K40" s="177"/>
      <c r="L40" s="54">
        <v>0</v>
      </c>
      <c r="N40" s="17"/>
      <c r="O40" s="17"/>
    </row>
    <row r="41" spans="1:20" ht="16.5" x14ac:dyDescent="0.3">
      <c r="C41" s="36"/>
      <c r="F41" s="33"/>
      <c r="G41" s="25"/>
      <c r="I41" s="171">
        <f>+I39-I40</f>
        <v>100385</v>
      </c>
      <c r="J41" s="170"/>
      <c r="K41" s="177"/>
      <c r="L41" s="55">
        <f>+L39</f>
        <v>89120</v>
      </c>
      <c r="N41" s="17"/>
      <c r="O41" s="17"/>
      <c r="S41" s="16">
        <v>273114</v>
      </c>
    </row>
    <row r="42" spans="1:20" ht="15" customHeight="1" x14ac:dyDescent="0.3">
      <c r="C42" s="36"/>
      <c r="F42" s="33"/>
      <c r="G42" s="25"/>
      <c r="I42" s="174">
        <f>-IFERROR(VLOOKUP(A42,#REF!,2,0),0)</f>
        <v>0</v>
      </c>
      <c r="J42" s="170"/>
      <c r="K42" s="177"/>
      <c r="L42" s="54">
        <v>0</v>
      </c>
      <c r="N42" s="17"/>
      <c r="O42" s="17"/>
      <c r="S42" s="16">
        <v>-257682</v>
      </c>
    </row>
    <row r="43" spans="1:20" ht="16.5" x14ac:dyDescent="0.3">
      <c r="A43" s="16" t="s">
        <v>127</v>
      </c>
      <c r="C43" s="36"/>
      <c r="E43" s="16" t="s">
        <v>18</v>
      </c>
      <c r="F43" s="33"/>
      <c r="G43" s="25"/>
      <c r="I43" s="174">
        <v>8851</v>
      </c>
      <c r="J43" s="170"/>
      <c r="K43" s="177"/>
      <c r="L43" s="54">
        <v>3846</v>
      </c>
      <c r="M43" s="77">
        <f>+L43-I43</f>
        <v>-5005</v>
      </c>
      <c r="N43" s="17"/>
      <c r="O43" s="17"/>
      <c r="S43" s="16">
        <v>-58800</v>
      </c>
    </row>
    <row r="44" spans="1:20" ht="16.5" x14ac:dyDescent="0.3">
      <c r="A44" s="16" t="s">
        <v>128</v>
      </c>
      <c r="C44" s="36"/>
      <c r="E44" s="16" t="s">
        <v>12</v>
      </c>
      <c r="F44" s="33"/>
      <c r="G44" s="25"/>
      <c r="I44" s="174"/>
      <c r="J44" s="170"/>
      <c r="K44" s="177"/>
      <c r="L44" s="54"/>
      <c r="N44" s="17"/>
      <c r="O44" s="17"/>
    </row>
    <row r="45" spans="1:20" ht="16.5" x14ac:dyDescent="0.3">
      <c r="C45" s="36"/>
      <c r="F45" s="33" t="s">
        <v>162</v>
      </c>
      <c r="G45" s="25"/>
      <c r="I45" s="171">
        <f>+I43-I44</f>
        <v>8851</v>
      </c>
      <c r="J45" s="170"/>
      <c r="K45" s="177"/>
      <c r="L45" s="55">
        <f>SUM(L42:L44)</f>
        <v>3846</v>
      </c>
      <c r="N45" s="17"/>
      <c r="O45" s="17"/>
    </row>
    <row r="46" spans="1:20" ht="15" customHeight="1" x14ac:dyDescent="0.3">
      <c r="C46" s="36"/>
      <c r="F46" s="33"/>
      <c r="G46" s="25"/>
      <c r="I46" s="174">
        <f>-IFERROR(VLOOKUP(A46,#REF!,2,0),0)</f>
        <v>0</v>
      </c>
      <c r="J46" s="170"/>
      <c r="K46" s="177"/>
      <c r="L46" s="54">
        <v>0</v>
      </c>
      <c r="N46" s="17"/>
      <c r="O46" s="17"/>
    </row>
    <row r="47" spans="1:20" ht="16.5" x14ac:dyDescent="0.3">
      <c r="A47" s="16" t="s">
        <v>129</v>
      </c>
      <c r="C47" s="36"/>
      <c r="E47" s="16" t="s">
        <v>19</v>
      </c>
      <c r="F47" s="33"/>
      <c r="G47" s="25"/>
      <c r="I47" s="174">
        <v>90128</v>
      </c>
      <c r="J47" s="170"/>
      <c r="K47" s="177"/>
      <c r="L47" s="54">
        <v>83521</v>
      </c>
      <c r="M47" s="77">
        <f>+L47-I47</f>
        <v>-6607</v>
      </c>
      <c r="N47" s="17"/>
      <c r="O47" s="17"/>
    </row>
    <row r="48" spans="1:20" ht="16.5" x14ac:dyDescent="0.3">
      <c r="A48" s="16" t="s">
        <v>130</v>
      </c>
      <c r="C48" s="36"/>
      <c r="E48" s="16" t="s">
        <v>12</v>
      </c>
      <c r="F48" s="33"/>
      <c r="G48" s="25"/>
      <c r="I48" s="174"/>
      <c r="J48" s="170"/>
      <c r="K48" s="177"/>
      <c r="L48" s="54"/>
      <c r="N48" s="17"/>
      <c r="O48" s="17"/>
    </row>
    <row r="49" spans="1:15" ht="16.5" x14ac:dyDescent="0.3">
      <c r="C49" s="36"/>
      <c r="F49" s="33" t="s">
        <v>169</v>
      </c>
      <c r="G49" s="25"/>
      <c r="I49" s="171">
        <f>+I47-I48</f>
        <v>90128</v>
      </c>
      <c r="J49" s="170"/>
      <c r="K49" s="177"/>
      <c r="L49" s="55">
        <f>+L47</f>
        <v>83521</v>
      </c>
      <c r="N49" s="17"/>
      <c r="O49" s="17"/>
    </row>
    <row r="50" spans="1:15" ht="15" customHeight="1" x14ac:dyDescent="0.3">
      <c r="C50" s="36"/>
      <c r="F50" s="33"/>
      <c r="G50" s="25"/>
      <c r="I50" s="170"/>
      <c r="J50" s="170"/>
      <c r="K50" s="177"/>
      <c r="L50" s="35"/>
      <c r="N50" s="17"/>
    </row>
    <row r="51" spans="1:15" ht="15" x14ac:dyDescent="0.25">
      <c r="A51" s="16" t="s">
        <v>131</v>
      </c>
      <c r="C51" s="36"/>
      <c r="E51" s="16" t="s">
        <v>20</v>
      </c>
      <c r="F51" s="33"/>
      <c r="G51" s="25"/>
      <c r="I51" s="174"/>
      <c r="J51" s="170"/>
      <c r="K51" s="177"/>
      <c r="L51" s="54"/>
    </row>
    <row r="52" spans="1:15" ht="12" customHeight="1" x14ac:dyDescent="0.25">
      <c r="C52" s="36"/>
      <c r="F52" s="33"/>
      <c r="G52" s="25"/>
      <c r="I52" s="174">
        <f>-IFERROR(VLOOKUP(A52,#REF!,2,0),0)</f>
        <v>0</v>
      </c>
      <c r="J52" s="170"/>
      <c r="K52" s="177"/>
      <c r="L52" s="54">
        <v>0</v>
      </c>
    </row>
    <row r="53" spans="1:15" ht="15" x14ac:dyDescent="0.25">
      <c r="A53" s="16" t="s">
        <v>132</v>
      </c>
      <c r="C53" s="36"/>
      <c r="E53" s="16" t="s">
        <v>21</v>
      </c>
      <c r="F53" s="33" t="s">
        <v>172</v>
      </c>
      <c r="G53" s="25"/>
      <c r="I53" s="174">
        <v>266952</v>
      </c>
      <c r="J53" s="170"/>
      <c r="K53" s="177"/>
      <c r="L53" s="54">
        <v>111764</v>
      </c>
      <c r="M53" s="77">
        <f>+I53-L53</f>
        <v>155188</v>
      </c>
    </row>
    <row r="54" spans="1:15" ht="12" customHeight="1" thickBot="1" x14ac:dyDescent="0.3">
      <c r="C54" s="36"/>
      <c r="F54" s="33"/>
      <c r="G54" s="25"/>
      <c r="I54" s="172"/>
      <c r="J54" s="170"/>
      <c r="K54" s="177"/>
      <c r="L54" s="79"/>
    </row>
    <row r="55" spans="1:15" s="42" customFormat="1" ht="15" customHeight="1" thickTop="1" thickBot="1" x14ac:dyDescent="0.3">
      <c r="C55" s="45" t="s">
        <v>22</v>
      </c>
      <c r="D55" s="46"/>
      <c r="E55" s="46"/>
      <c r="F55" s="47"/>
      <c r="G55" s="48"/>
      <c r="I55" s="185">
        <f>+I49+I45+I41+I53+I52</f>
        <v>466316</v>
      </c>
      <c r="J55" s="195"/>
      <c r="K55" s="190"/>
      <c r="L55" s="186">
        <f>+L53+L49++L45+L41</f>
        <v>288251</v>
      </c>
    </row>
    <row r="56" spans="1:15" ht="12.75" customHeight="1" thickTop="1" x14ac:dyDescent="0.25">
      <c r="C56" s="36"/>
      <c r="F56" s="33"/>
      <c r="G56" s="25"/>
      <c r="I56" s="170"/>
      <c r="J56" s="170"/>
      <c r="K56" s="177"/>
      <c r="L56" s="35"/>
      <c r="N56" s="77">
        <f>+L53-I53</f>
        <v>-155188</v>
      </c>
    </row>
    <row r="57" spans="1:15" ht="12.75" customHeight="1" thickBot="1" x14ac:dyDescent="0.3">
      <c r="C57" s="36"/>
      <c r="F57" s="33"/>
      <c r="G57" s="25"/>
      <c r="I57" s="170"/>
      <c r="J57" s="170"/>
      <c r="K57" s="177"/>
      <c r="L57" s="35"/>
    </row>
    <row r="58" spans="1:15" s="51" customFormat="1" ht="15" customHeight="1" thickTop="1" thickBot="1" x14ac:dyDescent="0.3">
      <c r="C58" s="49" t="s">
        <v>23</v>
      </c>
      <c r="D58" s="50"/>
      <c r="E58" s="50"/>
      <c r="F58" s="24"/>
      <c r="G58" s="50"/>
      <c r="I58" s="187">
        <f>+I55+I35</f>
        <v>594920</v>
      </c>
      <c r="J58" s="193"/>
      <c r="K58" s="170"/>
      <c r="L58" s="188">
        <f>+L35+L55</f>
        <v>480144</v>
      </c>
      <c r="M58" s="109"/>
    </row>
    <row r="59" spans="1:15" ht="14.25" thickTop="1" x14ac:dyDescent="0.25">
      <c r="K59" s="52"/>
    </row>
    <row r="60" spans="1:15" ht="13.5" x14ac:dyDescent="0.25"/>
    <row r="61" spans="1:15" ht="13.5" x14ac:dyDescent="0.25"/>
    <row r="62" spans="1:15" ht="13.5" x14ac:dyDescent="0.25"/>
    <row r="63" spans="1:15" ht="13.5" x14ac:dyDescent="0.25"/>
    <row r="64" spans="1:15" ht="13.5" x14ac:dyDescent="0.25"/>
    <row r="65" spans="5:9" ht="13.5" x14ac:dyDescent="0.25">
      <c r="E65" s="53"/>
      <c r="I65" s="77"/>
    </row>
    <row r="66" spans="5:9" ht="13.5" x14ac:dyDescent="0.25">
      <c r="E66" s="53"/>
    </row>
    <row r="67" spans="5:9" ht="15" customHeight="1" x14ac:dyDescent="0.25"/>
    <row r="68" spans="5:9" ht="15" customHeight="1" x14ac:dyDescent="0.25"/>
  </sheetData>
  <mergeCells count="4">
    <mergeCell ref="C5:K5"/>
    <mergeCell ref="C4:L4"/>
    <mergeCell ref="C6:L6"/>
    <mergeCell ref="C2:L2"/>
  </mergeCells>
  <printOptions horizontalCentered="1"/>
  <pageMargins left="0.78740157480314965" right="0.55118110236220474" top="0.59055118110236227" bottom="0.82677165354330717" header="0.51181102362204722" footer="0.51181102362204722"/>
  <pageSetup paperSize="9" scale="70" orientation="portrait" r:id="rId1"/>
  <headerFooter alignWithMargins="0">
    <oddFooter>&amp;C4</oddFooter>
  </headerFooter>
  <ignoredErrors>
    <ignoredError sqref="L45" formulaRange="1"/>
    <ignoredError sqref="I4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61"/>
  <sheetViews>
    <sheetView showGridLines="0" showZeros="0" topLeftCell="B6" zoomScaleNormal="100" zoomScaleSheetLayoutView="80" workbookViewId="0">
      <selection activeCell="M49" sqref="M49"/>
    </sheetView>
  </sheetViews>
  <sheetFormatPr baseColWidth="10" defaultColWidth="11.42578125" defaultRowHeight="0" customHeight="1" zeroHeight="1" x14ac:dyDescent="0.25"/>
  <cols>
    <col min="1" max="1" width="3.140625" style="16" hidden="1" customWidth="1"/>
    <col min="2" max="2" width="1.7109375" style="16" customWidth="1"/>
    <col min="3" max="3" width="1.42578125" style="16" customWidth="1"/>
    <col min="4" max="4" width="49.7109375" style="16" customWidth="1"/>
    <col min="5" max="5" width="6.85546875" style="22" customWidth="1"/>
    <col min="6" max="6" width="0.42578125" style="22" hidden="1" customWidth="1"/>
    <col min="7" max="7" width="17" style="22" hidden="1" customWidth="1"/>
    <col min="8" max="8" width="15.28515625" style="22" customWidth="1"/>
    <col min="9" max="9" width="0.42578125" style="16" hidden="1" customWidth="1"/>
    <col min="10" max="10" width="15.42578125" style="16" customWidth="1"/>
    <col min="11" max="11" width="12" style="16" bestFit="1" customWidth="1"/>
    <col min="12" max="16384" width="11.42578125" style="16"/>
  </cols>
  <sheetData>
    <row r="3" spans="1:12" ht="16.5" x14ac:dyDescent="0.3">
      <c r="A3" s="311" t="str">
        <f>+ACTIF!C2</f>
        <v>ANIMAL CITY</v>
      </c>
      <c r="B3" s="311"/>
      <c r="C3" s="311"/>
      <c r="D3" s="311"/>
      <c r="E3" s="311"/>
      <c r="F3" s="311"/>
      <c r="G3" s="311"/>
      <c r="H3" s="311"/>
      <c r="I3" s="311"/>
      <c r="J3" s="311"/>
    </row>
    <row r="4" spans="1:12" ht="12" customHeight="1" x14ac:dyDescent="0.3">
      <c r="B4" s="263"/>
      <c r="C4" s="116"/>
      <c r="D4" s="116"/>
      <c r="E4" s="117"/>
      <c r="F4" s="117"/>
      <c r="G4" s="117"/>
      <c r="H4" s="117"/>
    </row>
    <row r="5" spans="1:12" ht="15.75" customHeight="1" x14ac:dyDescent="0.3">
      <c r="A5" s="308" t="s">
        <v>356</v>
      </c>
      <c r="B5" s="308"/>
      <c r="C5" s="308"/>
      <c r="D5" s="308"/>
      <c r="E5" s="308"/>
      <c r="F5" s="308"/>
      <c r="G5" s="308"/>
      <c r="H5" s="308"/>
      <c r="I5" s="308"/>
      <c r="J5" s="308"/>
    </row>
    <row r="6" spans="1:12" ht="13.5" x14ac:dyDescent="0.25">
      <c r="B6" s="116"/>
      <c r="C6" s="116"/>
      <c r="D6" s="116"/>
      <c r="E6" s="117"/>
      <c r="F6" s="117"/>
      <c r="G6" s="117"/>
      <c r="H6" s="117"/>
    </row>
    <row r="7" spans="1:12" ht="15.75" customHeight="1" x14ac:dyDescent="0.3">
      <c r="A7" s="312" t="s">
        <v>2</v>
      </c>
      <c r="B7" s="312"/>
      <c r="C7" s="312"/>
      <c r="D7" s="312"/>
      <c r="E7" s="312"/>
      <c r="F7" s="312"/>
      <c r="G7" s="312"/>
      <c r="H7" s="312"/>
      <c r="I7" s="312"/>
      <c r="J7" s="312"/>
    </row>
    <row r="8" spans="1:12" ht="15" x14ac:dyDescent="0.3">
      <c r="B8" s="20"/>
      <c r="C8" s="20"/>
      <c r="D8" s="20"/>
      <c r="E8" s="21"/>
      <c r="F8" s="21"/>
      <c r="G8" s="21"/>
      <c r="H8" s="21"/>
    </row>
    <row r="9" spans="1:12" ht="14.25" thickBot="1" x14ac:dyDescent="0.3"/>
    <row r="10" spans="1:12" s="25" customFormat="1" ht="20.100000000000001" customHeight="1" thickTop="1" thickBot="1" x14ac:dyDescent="0.3">
      <c r="B10" s="273" t="s">
        <v>24</v>
      </c>
      <c r="C10" s="69"/>
      <c r="D10" s="69"/>
      <c r="E10" s="24" t="s">
        <v>4</v>
      </c>
      <c r="F10" s="24"/>
      <c r="H10" s="183">
        <f>+ACTIF!I9</f>
        <v>46022</v>
      </c>
      <c r="I10" s="170"/>
      <c r="J10" s="184">
        <v>45657</v>
      </c>
    </row>
    <row r="11" spans="1:12" ht="15.75" thickTop="1" x14ac:dyDescent="0.25">
      <c r="B11" s="26"/>
      <c r="C11" s="27"/>
      <c r="D11" s="27"/>
      <c r="E11" s="28"/>
      <c r="F11" s="29"/>
      <c r="H11" s="173"/>
      <c r="I11" s="177"/>
      <c r="J11" s="30"/>
    </row>
    <row r="12" spans="1:12" ht="15" x14ac:dyDescent="0.3">
      <c r="B12" s="31" t="s">
        <v>24</v>
      </c>
      <c r="C12" s="32"/>
      <c r="D12" s="32"/>
      <c r="E12" s="33"/>
      <c r="F12" s="34"/>
      <c r="H12" s="170"/>
      <c r="I12" s="177"/>
      <c r="J12" s="35"/>
    </row>
    <row r="13" spans="1:12" ht="15" x14ac:dyDescent="0.25">
      <c r="B13" s="36"/>
      <c r="E13" s="33"/>
      <c r="F13" s="34"/>
      <c r="H13" s="170"/>
      <c r="I13" s="177"/>
      <c r="J13" s="35"/>
    </row>
    <row r="14" spans="1:12" ht="15" x14ac:dyDescent="0.25">
      <c r="B14" s="36"/>
      <c r="C14" s="37" t="s">
        <v>25</v>
      </c>
      <c r="E14" s="33"/>
      <c r="F14" s="34"/>
      <c r="H14" s="170"/>
      <c r="I14" s="177"/>
      <c r="J14" s="35"/>
    </row>
    <row r="15" spans="1:12" ht="15" x14ac:dyDescent="0.25">
      <c r="B15" s="36"/>
      <c r="E15" s="33"/>
      <c r="F15" s="34"/>
      <c r="H15" s="170"/>
      <c r="I15" s="177"/>
      <c r="J15" s="35"/>
    </row>
    <row r="16" spans="1:12" ht="15" x14ac:dyDescent="0.25">
      <c r="A16" s="16" t="s">
        <v>133</v>
      </c>
      <c r="B16" s="36"/>
      <c r="D16" s="16" t="s">
        <v>161</v>
      </c>
      <c r="E16" s="33"/>
      <c r="F16" s="34"/>
      <c r="H16" s="174">
        <f>-VLOOKUP(A16,TCD!A:B,2,0)</f>
        <v>20000</v>
      </c>
      <c r="I16" s="177"/>
      <c r="J16" s="54">
        <v>20000</v>
      </c>
      <c r="K16" s="77"/>
      <c r="L16" s="77"/>
    </row>
    <row r="17" spans="1:18" ht="15" x14ac:dyDescent="0.25">
      <c r="A17" s="16" t="s">
        <v>134</v>
      </c>
      <c r="B17" s="36"/>
      <c r="D17" s="16" t="s">
        <v>26</v>
      </c>
      <c r="E17" s="33"/>
      <c r="F17" s="34"/>
      <c r="H17" s="174">
        <v>2000</v>
      </c>
      <c r="I17" s="177"/>
      <c r="J17" s="54">
        <v>2000</v>
      </c>
      <c r="K17" s="77">
        <v>2000</v>
      </c>
    </row>
    <row r="18" spans="1:18" ht="15" x14ac:dyDescent="0.25">
      <c r="A18" s="16" t="s">
        <v>135</v>
      </c>
      <c r="B18" s="36"/>
      <c r="D18" s="16" t="s">
        <v>0</v>
      </c>
      <c r="E18" s="33"/>
      <c r="F18" s="34"/>
      <c r="H18" s="174">
        <v>1418</v>
      </c>
      <c r="I18" s="177"/>
      <c r="J18" s="54">
        <v>18609</v>
      </c>
      <c r="K18" s="77">
        <f>+H18-J18</f>
        <v>-17191</v>
      </c>
      <c r="L18" s="77"/>
    </row>
    <row r="19" spans="1:18" ht="15" x14ac:dyDescent="0.25">
      <c r="B19" s="36"/>
      <c r="E19" s="33"/>
      <c r="F19" s="34"/>
      <c r="H19" s="174">
        <f>IFERROR(VLOOKUP(A19,#REF!,2,0),0)</f>
        <v>0</v>
      </c>
      <c r="I19" s="177"/>
      <c r="J19" s="54">
        <v>0</v>
      </c>
    </row>
    <row r="20" spans="1:18" ht="15" x14ac:dyDescent="0.25">
      <c r="B20" s="36"/>
      <c r="D20" s="16" t="s">
        <v>27</v>
      </c>
      <c r="E20" s="33"/>
      <c r="F20" s="34"/>
      <c r="H20" s="171">
        <f>SUM(H16:H19)</f>
        <v>23418</v>
      </c>
      <c r="I20" s="177"/>
      <c r="J20" s="55">
        <f>SUM(J16:J19)</f>
        <v>40609</v>
      </c>
    </row>
    <row r="21" spans="1:18" ht="15" x14ac:dyDescent="0.25">
      <c r="B21" s="36"/>
      <c r="E21" s="33"/>
      <c r="F21" s="34"/>
      <c r="H21" s="174"/>
      <c r="I21" s="177"/>
      <c r="J21" s="54"/>
    </row>
    <row r="22" spans="1:18" ht="15" x14ac:dyDescent="0.25">
      <c r="B22" s="36"/>
      <c r="D22" s="16" t="s">
        <v>28</v>
      </c>
      <c r="E22" s="33"/>
      <c r="F22" s="34"/>
      <c r="H22" s="174">
        <v>98370</v>
      </c>
      <c r="I22" s="177"/>
      <c r="J22" s="54">
        <v>22809</v>
      </c>
      <c r="K22" s="77">
        <f>+H22-J22</f>
        <v>75561</v>
      </c>
    </row>
    <row r="23" spans="1:18" ht="15.75" thickBot="1" x14ac:dyDescent="0.3">
      <c r="B23" s="36"/>
      <c r="E23" s="33"/>
      <c r="F23" s="34"/>
      <c r="H23" s="170"/>
      <c r="I23" s="177"/>
      <c r="J23" s="35"/>
      <c r="K23" s="77"/>
      <c r="L23" s="77"/>
    </row>
    <row r="24" spans="1:18" s="42" customFormat="1" ht="16.5" thickTop="1" thickBot="1" x14ac:dyDescent="0.3">
      <c r="B24" s="45" t="s">
        <v>29</v>
      </c>
      <c r="C24" s="46"/>
      <c r="D24" s="46"/>
      <c r="E24" s="24" t="s">
        <v>160</v>
      </c>
      <c r="F24" s="24"/>
      <c r="H24" s="185">
        <f>+H20+H22</f>
        <v>121788</v>
      </c>
      <c r="I24" s="190"/>
      <c r="J24" s="186">
        <f>+J20+J22</f>
        <v>63418</v>
      </c>
      <c r="K24" s="77">
        <f>+H24-J24</f>
        <v>58370</v>
      </c>
      <c r="L24" s="182"/>
    </row>
    <row r="25" spans="1:18" ht="15.75" thickTop="1" x14ac:dyDescent="0.25">
      <c r="B25" s="26"/>
      <c r="C25" s="27"/>
      <c r="D25" s="27"/>
      <c r="E25" s="33"/>
      <c r="F25" s="34"/>
      <c r="H25" s="170"/>
      <c r="I25" s="177"/>
      <c r="J25" s="35"/>
      <c r="K25" s="77"/>
    </row>
    <row r="26" spans="1:18" ht="15" x14ac:dyDescent="0.25">
      <c r="B26" s="36"/>
      <c r="E26" s="33"/>
      <c r="F26" s="34"/>
      <c r="H26" s="170"/>
      <c r="I26" s="177"/>
      <c r="J26" s="35"/>
    </row>
    <row r="27" spans="1:18" ht="15" x14ac:dyDescent="0.3">
      <c r="B27" s="31" t="s">
        <v>30</v>
      </c>
      <c r="C27" s="32"/>
      <c r="D27" s="32"/>
      <c r="E27" s="33"/>
      <c r="F27" s="34"/>
      <c r="H27" s="170"/>
      <c r="I27" s="177"/>
      <c r="J27" s="35"/>
    </row>
    <row r="28" spans="1:18" ht="15" x14ac:dyDescent="0.25">
      <c r="B28" s="36"/>
      <c r="E28" s="33"/>
      <c r="F28" s="34"/>
      <c r="H28" s="174"/>
      <c r="I28" s="177"/>
      <c r="J28" s="54"/>
    </row>
    <row r="29" spans="1:18" ht="15" x14ac:dyDescent="0.25">
      <c r="B29" s="36"/>
      <c r="C29" s="37" t="s">
        <v>31</v>
      </c>
      <c r="E29" s="33"/>
      <c r="F29" s="34"/>
      <c r="H29" s="174"/>
      <c r="I29" s="177"/>
      <c r="J29" s="54"/>
    </row>
    <row r="30" spans="1:18" ht="15" x14ac:dyDescent="0.25">
      <c r="B30" s="36"/>
      <c r="E30" s="33"/>
      <c r="F30" s="34"/>
      <c r="H30" s="174"/>
      <c r="I30" s="177"/>
      <c r="J30" s="54"/>
    </row>
    <row r="31" spans="1:18" ht="16.5" x14ac:dyDescent="0.3">
      <c r="A31" s="16" t="s">
        <v>136</v>
      </c>
      <c r="B31" s="36"/>
      <c r="D31" s="16" t="s">
        <v>32</v>
      </c>
      <c r="E31" s="33"/>
      <c r="F31" s="34"/>
      <c r="H31" s="174">
        <v>19533</v>
      </c>
      <c r="I31" s="177"/>
      <c r="J31" s="54">
        <v>49600</v>
      </c>
      <c r="K31" s="56"/>
      <c r="L31" s="77">
        <f>+H31-J31</f>
        <v>-30067</v>
      </c>
    </row>
    <row r="32" spans="1:18" ht="16.5" x14ac:dyDescent="0.3">
      <c r="A32" s="16" t="s">
        <v>137</v>
      </c>
      <c r="B32" s="36"/>
      <c r="D32" s="16" t="s">
        <v>33</v>
      </c>
      <c r="E32" s="33"/>
      <c r="F32" s="34"/>
      <c r="H32" s="174">
        <f>IFERROR(VLOOKUP(A32,#REF!,2,0),0)</f>
        <v>0</v>
      </c>
      <c r="I32" s="177"/>
      <c r="J32" s="54">
        <v>0</v>
      </c>
      <c r="K32" s="56"/>
      <c r="R32" s="42"/>
    </row>
    <row r="33" spans="1:18" ht="15" x14ac:dyDescent="0.25">
      <c r="A33" s="16" t="s">
        <v>138</v>
      </c>
      <c r="B33" s="36"/>
      <c r="D33" s="16" t="s">
        <v>34</v>
      </c>
      <c r="E33" s="33"/>
      <c r="F33" s="34"/>
      <c r="H33" s="174">
        <f>IFERROR(VLOOKUP(A33,#REF!,2,0),0)</f>
        <v>0</v>
      </c>
      <c r="I33" s="177"/>
      <c r="J33" s="54">
        <v>0</v>
      </c>
    </row>
    <row r="34" spans="1:18" ht="15" x14ac:dyDescent="0.25">
      <c r="B34" s="36"/>
      <c r="E34" s="33"/>
      <c r="F34" s="34"/>
      <c r="H34" s="174">
        <f>IFERROR(VLOOKUP(A34,#REF!,2,0),0)</f>
        <v>0</v>
      </c>
      <c r="I34" s="177"/>
      <c r="J34" s="54">
        <v>0</v>
      </c>
    </row>
    <row r="35" spans="1:18" s="51" customFormat="1" ht="15" customHeight="1" x14ac:dyDescent="0.25">
      <c r="B35" s="38"/>
      <c r="C35" s="39" t="s">
        <v>35</v>
      </c>
      <c r="D35" s="39"/>
      <c r="E35" s="57"/>
      <c r="F35" s="34"/>
      <c r="H35" s="175">
        <f>+H31</f>
        <v>19533</v>
      </c>
      <c r="I35" s="170"/>
      <c r="J35" s="132">
        <f>+J31</f>
        <v>49600</v>
      </c>
      <c r="K35" s="16"/>
    </row>
    <row r="36" spans="1:18" ht="15" x14ac:dyDescent="0.25">
      <c r="B36" s="36"/>
      <c r="E36" s="33"/>
      <c r="F36" s="34"/>
      <c r="H36" s="174">
        <f>IFERROR(VLOOKUP(A36,#REF!,2,0),0)</f>
        <v>0</v>
      </c>
      <c r="I36" s="177"/>
      <c r="J36" s="54">
        <v>0</v>
      </c>
      <c r="Q36" s="16">
        <v>17365</v>
      </c>
      <c r="R36" s="16">
        <v>57569</v>
      </c>
    </row>
    <row r="37" spans="1:18" ht="15" x14ac:dyDescent="0.25">
      <c r="B37" s="36"/>
      <c r="C37" s="37" t="s">
        <v>36</v>
      </c>
      <c r="E37" s="33"/>
      <c r="F37" s="34"/>
      <c r="H37" s="174">
        <f>IFERROR(VLOOKUP(A37,#REF!,2,0),0)</f>
        <v>0</v>
      </c>
      <c r="I37" s="177"/>
      <c r="J37" s="54">
        <v>0</v>
      </c>
      <c r="R37" s="16">
        <f>+R36-Q36</f>
        <v>40204</v>
      </c>
    </row>
    <row r="38" spans="1:18" ht="15" x14ac:dyDescent="0.25">
      <c r="B38" s="36"/>
      <c r="E38" s="33"/>
      <c r="F38" s="34"/>
      <c r="H38" s="174">
        <f>IFERROR(VLOOKUP(A38,#REF!,2,0),0)</f>
        <v>0</v>
      </c>
      <c r="I38" s="177"/>
      <c r="J38" s="54">
        <v>0</v>
      </c>
    </row>
    <row r="39" spans="1:18" ht="15" x14ac:dyDescent="0.25">
      <c r="A39" s="16" t="s">
        <v>139</v>
      </c>
      <c r="B39" s="36"/>
      <c r="D39" s="16" t="s">
        <v>37</v>
      </c>
      <c r="E39" s="33" t="s">
        <v>163</v>
      </c>
      <c r="F39" s="34"/>
      <c r="H39" s="174">
        <v>311992</v>
      </c>
      <c r="I39" s="177"/>
      <c r="J39" s="54">
        <v>259986</v>
      </c>
      <c r="K39" s="77">
        <f>+H39+H40-J39-J40</f>
        <v>102633</v>
      </c>
      <c r="L39" s="77">
        <f t="shared" ref="L39:L40" si="0">+H39-J39</f>
        <v>52006</v>
      </c>
    </row>
    <row r="40" spans="1:18" ht="15" x14ac:dyDescent="0.25">
      <c r="A40" s="16" t="s">
        <v>140</v>
      </c>
      <c r="B40" s="36"/>
      <c r="D40" s="16" t="s">
        <v>38</v>
      </c>
      <c r="E40" s="33" t="s">
        <v>168</v>
      </c>
      <c r="F40" s="34"/>
      <c r="H40" s="174">
        <v>109723</v>
      </c>
      <c r="I40" s="177"/>
      <c r="J40" s="54">
        <v>59096</v>
      </c>
      <c r="K40" s="77">
        <f>+J39+J40-H39-H40</f>
        <v>-102633</v>
      </c>
      <c r="L40" s="77">
        <f t="shared" si="0"/>
        <v>50627</v>
      </c>
    </row>
    <row r="41" spans="1:18" ht="15" x14ac:dyDescent="0.25">
      <c r="A41" s="16" t="s">
        <v>141</v>
      </c>
      <c r="B41" s="36"/>
      <c r="D41" s="16" t="s">
        <v>39</v>
      </c>
      <c r="E41" s="33"/>
      <c r="F41" s="34"/>
      <c r="H41" s="174">
        <f>31883+1</f>
        <v>31884</v>
      </c>
      <c r="I41" s="177"/>
      <c r="J41" s="54">
        <v>48044</v>
      </c>
      <c r="K41" s="77">
        <f>+H41-J41</f>
        <v>-16160</v>
      </c>
      <c r="L41" s="77">
        <f>+H41-J41</f>
        <v>-16160</v>
      </c>
    </row>
    <row r="42" spans="1:18" ht="15" x14ac:dyDescent="0.25">
      <c r="B42" s="36"/>
      <c r="E42" s="33"/>
      <c r="F42" s="34"/>
      <c r="H42" s="176"/>
      <c r="I42" s="177"/>
      <c r="J42" s="58"/>
    </row>
    <row r="43" spans="1:18" s="51" customFormat="1" ht="15" customHeight="1" x14ac:dyDescent="0.25">
      <c r="B43" s="38"/>
      <c r="C43" s="39" t="s">
        <v>40</v>
      </c>
      <c r="D43" s="39"/>
      <c r="E43" s="57"/>
      <c r="F43" s="34"/>
      <c r="H43" s="171">
        <f>SUM(H39:H42)</f>
        <v>453599</v>
      </c>
      <c r="I43" s="170"/>
      <c r="J43" s="55">
        <f>SUM(J37:J42)</f>
        <v>367126</v>
      </c>
    </row>
    <row r="44" spans="1:18" ht="15" x14ac:dyDescent="0.3">
      <c r="B44" s="59"/>
      <c r="C44" s="60"/>
      <c r="D44" s="60"/>
      <c r="E44" s="33"/>
      <c r="F44" s="34"/>
      <c r="H44" s="177"/>
      <c r="I44" s="177"/>
      <c r="J44" s="61"/>
    </row>
    <row r="45" spans="1:18" ht="15.75" thickBot="1" x14ac:dyDescent="0.3">
      <c r="B45" s="36"/>
      <c r="E45" s="33"/>
      <c r="F45" s="34"/>
      <c r="H45" s="177"/>
      <c r="I45" s="177"/>
      <c r="J45" s="61"/>
    </row>
    <row r="46" spans="1:18" s="42" customFormat="1" ht="15" customHeight="1" thickTop="1" thickBot="1" x14ac:dyDescent="0.3">
      <c r="B46" s="45" t="s">
        <v>41</v>
      </c>
      <c r="C46" s="46"/>
      <c r="D46" s="46"/>
      <c r="E46" s="47"/>
      <c r="F46" s="47"/>
      <c r="H46" s="185">
        <f>+H43+H35</f>
        <v>473132</v>
      </c>
      <c r="I46" s="190"/>
      <c r="J46" s="186">
        <f>+J35+J43</f>
        <v>416726</v>
      </c>
    </row>
    <row r="47" spans="1:18" ht="15.75" thickTop="1" x14ac:dyDescent="0.25">
      <c r="B47" s="36"/>
      <c r="E47" s="33"/>
      <c r="F47" s="34"/>
      <c r="H47" s="177"/>
      <c r="I47" s="177"/>
      <c r="J47" s="61"/>
    </row>
    <row r="48" spans="1:18" ht="15" x14ac:dyDescent="0.25">
      <c r="B48" s="36"/>
      <c r="D48" s="62"/>
      <c r="E48" s="33"/>
      <c r="F48" s="34"/>
      <c r="H48" s="177"/>
      <c r="I48" s="177"/>
      <c r="J48" s="61"/>
    </row>
    <row r="49" spans="2:11" ht="15.75" thickBot="1" x14ac:dyDescent="0.3">
      <c r="B49" s="36"/>
      <c r="E49" s="33"/>
      <c r="F49" s="34"/>
      <c r="H49" s="177"/>
      <c r="I49" s="177"/>
      <c r="J49" s="61"/>
    </row>
    <row r="50" spans="2:11" s="51" customFormat="1" ht="15" customHeight="1" thickTop="1" thickBot="1" x14ac:dyDescent="0.3">
      <c r="B50" s="49" t="s">
        <v>42</v>
      </c>
      <c r="C50" s="50"/>
      <c r="D50" s="50"/>
      <c r="E50" s="24"/>
      <c r="F50" s="24"/>
      <c r="H50" s="187">
        <f>+H46+H24</f>
        <v>594920</v>
      </c>
      <c r="I50" s="170"/>
      <c r="J50" s="188">
        <f>+J24+J46</f>
        <v>480144</v>
      </c>
      <c r="K50" s="115"/>
    </row>
    <row r="51" spans="2:11" ht="15.75" customHeight="1" thickTop="1" x14ac:dyDescent="0.25">
      <c r="H51" s="77">
        <f>+H50-ACTIF!I58</f>
        <v>0</v>
      </c>
    </row>
    <row r="52" spans="2:11" ht="13.5" x14ac:dyDescent="0.25"/>
    <row r="53" spans="2:11" ht="13.5" x14ac:dyDescent="0.25"/>
    <row r="54" spans="2:11" ht="13.5" x14ac:dyDescent="0.25"/>
    <row r="55" spans="2:11" ht="13.5" x14ac:dyDescent="0.25"/>
    <row r="56" spans="2:11" ht="13.5" x14ac:dyDescent="0.25"/>
    <row r="57" spans="2:11" ht="13.5" x14ac:dyDescent="0.25">
      <c r="D57" s="53"/>
    </row>
    <row r="58" spans="2:11" ht="13.5" x14ac:dyDescent="0.25">
      <c r="D58" s="53"/>
    </row>
    <row r="59" spans="2:11" ht="13.5" x14ac:dyDescent="0.25"/>
    <row r="60" spans="2:11" ht="13.5" x14ac:dyDescent="0.25"/>
    <row r="61" spans="2:11" ht="13.5" x14ac:dyDescent="0.25"/>
  </sheetData>
  <mergeCells count="3">
    <mergeCell ref="A5:J5"/>
    <mergeCell ref="A3:J3"/>
    <mergeCell ref="A7:J7"/>
  </mergeCells>
  <printOptions horizontalCentered="1"/>
  <pageMargins left="0.62992125984251968" right="0.47244094488188981" top="0.6692913385826772" bottom="0.78740157480314965" header="0.51181102362204722" footer="0.51181102362204722"/>
  <pageSetup paperSize="9" scale="87" orientation="portrait" r:id="rId1"/>
  <headerFooter alignWithMargins="0">
    <oddFooter>&amp;C5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57"/>
  <sheetViews>
    <sheetView showGridLines="0" showZeros="0" topLeftCell="B20" zoomScaleNormal="100" zoomScaleSheetLayoutView="100" workbookViewId="0">
      <selection activeCell="B2" sqref="B2:I47"/>
    </sheetView>
  </sheetViews>
  <sheetFormatPr baseColWidth="10" defaultColWidth="11.42578125" defaultRowHeight="0" customHeight="1" zeroHeight="1" x14ac:dyDescent="0.25"/>
  <cols>
    <col min="1" max="1" width="4.28515625" style="16" hidden="1" customWidth="1"/>
    <col min="2" max="3" width="1.7109375" style="16" customWidth="1"/>
    <col min="4" max="4" width="49.7109375" style="16" customWidth="1"/>
    <col min="5" max="5" width="7.140625" style="22" customWidth="1"/>
    <col min="6" max="6" width="0.28515625" style="22" customWidth="1"/>
    <col min="7" max="7" width="0.42578125" style="22" hidden="1" customWidth="1"/>
    <col min="8" max="8" width="15.7109375" style="22" customWidth="1"/>
    <col min="9" max="9" width="16" style="16" customWidth="1"/>
    <col min="10" max="10" width="11.85546875" style="16" bestFit="1" customWidth="1"/>
    <col min="11" max="16384" width="11.42578125" style="16"/>
  </cols>
  <sheetData>
    <row r="2" spans="1:10" ht="15" x14ac:dyDescent="0.3">
      <c r="B2" s="312" t="str">
        <f>+PASSIF!A3</f>
        <v>ANIMAL CITY</v>
      </c>
      <c r="C2" s="312"/>
      <c r="D2" s="312"/>
      <c r="E2" s="312"/>
      <c r="F2" s="312"/>
      <c r="G2" s="312"/>
      <c r="H2" s="312"/>
      <c r="I2" s="312"/>
    </row>
    <row r="3" spans="1:10" ht="18.75" customHeight="1" x14ac:dyDescent="0.3">
      <c r="B3" s="262"/>
      <c r="C3" s="18"/>
      <c r="D3" s="18"/>
      <c r="E3" s="19"/>
      <c r="F3" s="19"/>
      <c r="G3" s="19"/>
      <c r="H3" s="19"/>
    </row>
    <row r="4" spans="1:10" ht="18" customHeight="1" x14ac:dyDescent="0.3">
      <c r="B4" s="308" t="s">
        <v>357</v>
      </c>
      <c r="C4" s="308"/>
      <c r="D4" s="308"/>
      <c r="E4" s="308"/>
      <c r="F4" s="308"/>
      <c r="G4" s="308"/>
      <c r="H4" s="308"/>
      <c r="I4" s="308"/>
    </row>
    <row r="5" spans="1:10" ht="13.5" x14ac:dyDescent="0.25">
      <c r="B5" s="116"/>
      <c r="C5" s="116"/>
      <c r="D5" s="116"/>
      <c r="E5" s="117"/>
      <c r="F5" s="117"/>
      <c r="G5" s="117"/>
      <c r="H5" s="117"/>
    </row>
    <row r="6" spans="1:10" ht="15" x14ac:dyDescent="0.3">
      <c r="B6" s="308" t="s">
        <v>2</v>
      </c>
      <c r="C6" s="308"/>
      <c r="D6" s="308"/>
      <c r="E6" s="308"/>
      <c r="F6" s="308"/>
      <c r="G6" s="308"/>
      <c r="H6" s="308"/>
      <c r="I6" s="308"/>
    </row>
    <row r="7" spans="1:10" ht="15" x14ac:dyDescent="0.3">
      <c r="B7" s="20"/>
      <c r="C7" s="20"/>
      <c r="D7" s="20"/>
      <c r="E7" s="21"/>
      <c r="F7" s="21"/>
      <c r="G7" s="21"/>
      <c r="H7" s="21"/>
    </row>
    <row r="8" spans="1:10" ht="14.25" thickBot="1" x14ac:dyDescent="0.3"/>
    <row r="9" spans="1:10" s="25" customFormat="1" ht="36" customHeight="1" thickTop="1" thickBot="1" x14ac:dyDescent="0.3">
      <c r="B9" s="118"/>
      <c r="C9" s="69"/>
      <c r="D9" s="69"/>
      <c r="E9" s="24" t="s">
        <v>4</v>
      </c>
      <c r="F9" s="24"/>
      <c r="H9" s="183">
        <f>+PASSIF!H10</f>
        <v>46022</v>
      </c>
      <c r="I9" s="184">
        <v>45657</v>
      </c>
    </row>
    <row r="10" spans="1:10" ht="15.75" thickTop="1" x14ac:dyDescent="0.25">
      <c r="B10" s="26"/>
      <c r="C10" s="27"/>
      <c r="D10" s="27"/>
      <c r="E10" s="28"/>
      <c r="F10" s="29"/>
      <c r="H10" s="173"/>
      <c r="I10" s="30"/>
    </row>
    <row r="11" spans="1:10" ht="15" x14ac:dyDescent="0.3">
      <c r="B11" s="31" t="s">
        <v>43</v>
      </c>
      <c r="C11" s="32"/>
      <c r="D11" s="32"/>
      <c r="E11" s="33"/>
      <c r="F11" s="34"/>
      <c r="H11" s="170"/>
      <c r="I11" s="35"/>
    </row>
    <row r="12" spans="1:10" ht="15" x14ac:dyDescent="0.25">
      <c r="B12" s="36"/>
      <c r="E12" s="33"/>
      <c r="F12" s="34"/>
      <c r="H12" s="174">
        <f>IFERROR(VLOOKUP(A12,#REF!,2,0),0)</f>
        <v>0</v>
      </c>
      <c r="I12" s="54">
        <v>0</v>
      </c>
    </row>
    <row r="13" spans="1:10" ht="15" x14ac:dyDescent="0.25">
      <c r="A13" s="16" t="s">
        <v>142</v>
      </c>
      <c r="B13" s="36"/>
      <c r="D13" s="16" t="s">
        <v>44</v>
      </c>
      <c r="E13" s="33" t="s">
        <v>174</v>
      </c>
      <c r="F13" s="34"/>
      <c r="H13" s="174">
        <v>1837959</v>
      </c>
      <c r="I13" s="54">
        <v>1600954</v>
      </c>
      <c r="J13" s="77"/>
    </row>
    <row r="14" spans="1:10" ht="15" x14ac:dyDescent="0.25">
      <c r="A14" s="16" t="s">
        <v>143</v>
      </c>
      <c r="B14" s="36"/>
      <c r="D14" s="16" t="s">
        <v>45</v>
      </c>
      <c r="E14" s="33"/>
      <c r="F14" s="34"/>
      <c r="H14" s="174"/>
      <c r="I14" s="54"/>
    </row>
    <row r="15" spans="1:10" ht="15" x14ac:dyDescent="0.25">
      <c r="A15" s="16" t="s">
        <v>144</v>
      </c>
      <c r="B15" s="36"/>
      <c r="D15" s="16" t="s">
        <v>46</v>
      </c>
      <c r="E15" s="33"/>
      <c r="F15" s="34"/>
      <c r="H15" s="174">
        <f>IFERROR(VLOOKUP(A15,#REF!,2,0),0)</f>
        <v>0</v>
      </c>
      <c r="I15" s="54">
        <v>0</v>
      </c>
    </row>
    <row r="16" spans="1:10" ht="15" x14ac:dyDescent="0.25">
      <c r="B16" s="36"/>
      <c r="D16" s="16" t="s">
        <v>171</v>
      </c>
      <c r="E16" s="33"/>
      <c r="F16" s="34"/>
      <c r="H16" s="174"/>
      <c r="I16" s="54"/>
    </row>
    <row r="17" spans="1:12" ht="15" x14ac:dyDescent="0.25">
      <c r="B17" s="36"/>
      <c r="C17" s="63" t="s">
        <v>47</v>
      </c>
      <c r="E17" s="33"/>
      <c r="F17" s="34"/>
      <c r="H17" s="171">
        <f>+H13+H16</f>
        <v>1837959</v>
      </c>
      <c r="I17" s="55">
        <f>+I13</f>
        <v>1600954</v>
      </c>
    </row>
    <row r="18" spans="1:12" ht="15" x14ac:dyDescent="0.25">
      <c r="B18" s="36"/>
      <c r="E18" s="33"/>
      <c r="F18" s="34"/>
      <c r="H18" s="174">
        <f>IFERROR(VLOOKUP(A18,#REF!,2,0),0)</f>
        <v>0</v>
      </c>
      <c r="I18" s="54">
        <v>0</v>
      </c>
    </row>
    <row r="19" spans="1:12" ht="15" x14ac:dyDescent="0.3">
      <c r="B19" s="31" t="s">
        <v>48</v>
      </c>
      <c r="C19" s="32"/>
      <c r="D19" s="32"/>
      <c r="E19" s="33"/>
      <c r="F19" s="34"/>
      <c r="H19" s="174">
        <f>IFERROR(VLOOKUP(A19,#REF!,2,0),0)</f>
        <v>0</v>
      </c>
      <c r="I19" s="54">
        <v>0</v>
      </c>
    </row>
    <row r="20" spans="1:12" ht="15" x14ac:dyDescent="0.25">
      <c r="B20" s="36"/>
      <c r="E20" s="33"/>
      <c r="F20" s="34"/>
      <c r="H20" s="174">
        <f>IFERROR(VLOOKUP(A20,#REF!,2,0),0)</f>
        <v>0</v>
      </c>
      <c r="I20" s="54">
        <v>0</v>
      </c>
    </row>
    <row r="21" spans="1:12" ht="15" x14ac:dyDescent="0.25">
      <c r="B21" s="36"/>
      <c r="D21" s="16" t="s">
        <v>310</v>
      </c>
      <c r="E21" s="33" t="s">
        <v>175</v>
      </c>
      <c r="F21" s="34"/>
      <c r="H21" s="174">
        <v>1289616</v>
      </c>
      <c r="I21" s="54">
        <v>1162054</v>
      </c>
      <c r="J21" s="16">
        <f>+H13/H21</f>
        <v>1.4251986637882905</v>
      </c>
      <c r="K21" s="16">
        <f>+I13/I21</f>
        <v>1.3776932913616751</v>
      </c>
      <c r="L21" s="16" t="s">
        <v>351</v>
      </c>
    </row>
    <row r="22" spans="1:12" ht="15" x14ac:dyDescent="0.25">
      <c r="A22" s="16" t="s">
        <v>146</v>
      </c>
      <c r="B22" s="36"/>
      <c r="D22" s="16" t="s">
        <v>49</v>
      </c>
      <c r="E22" s="33"/>
      <c r="F22" s="34"/>
      <c r="H22" s="174">
        <v>71935</v>
      </c>
      <c r="I22" s="54">
        <v>70609</v>
      </c>
    </row>
    <row r="23" spans="1:12" ht="15" x14ac:dyDescent="0.25">
      <c r="A23" s="16" t="s">
        <v>147</v>
      </c>
      <c r="B23" s="36"/>
      <c r="D23" s="16" t="s">
        <v>50</v>
      </c>
      <c r="E23" s="33" t="s">
        <v>176</v>
      </c>
      <c r="F23" s="34"/>
      <c r="H23" s="174">
        <v>66450</v>
      </c>
      <c r="I23" s="54">
        <v>65973</v>
      </c>
    </row>
    <row r="24" spans="1:12" ht="15" x14ac:dyDescent="0.25">
      <c r="A24" s="16" t="s">
        <v>148</v>
      </c>
      <c r="B24" s="36"/>
      <c r="D24" s="16" t="s">
        <v>51</v>
      </c>
      <c r="E24" s="33" t="s">
        <v>177</v>
      </c>
      <c r="F24" s="34"/>
      <c r="H24" s="174">
        <v>272697</v>
      </c>
      <c r="I24" s="54">
        <v>251907</v>
      </c>
    </row>
    <row r="25" spans="1:12" ht="15" x14ac:dyDescent="0.25">
      <c r="B25" s="36"/>
      <c r="C25" s="63" t="s">
        <v>52</v>
      </c>
      <c r="E25" s="33"/>
      <c r="F25" s="34"/>
      <c r="H25" s="171">
        <f>SUM(H21:H24)</f>
        <v>1700698</v>
      </c>
      <c r="I25" s="55">
        <f>SUM(I20:I24)</f>
        <v>1550543</v>
      </c>
    </row>
    <row r="26" spans="1:12" ht="15" x14ac:dyDescent="0.25">
      <c r="B26" s="36"/>
      <c r="C26" s="63"/>
      <c r="E26" s="33"/>
      <c r="F26" s="34"/>
      <c r="H26" s="170"/>
      <c r="I26" s="35"/>
    </row>
    <row r="27" spans="1:12" ht="15.75" thickBot="1" x14ac:dyDescent="0.3">
      <c r="B27" s="36"/>
      <c r="E27" s="33"/>
      <c r="F27" s="34"/>
      <c r="H27" s="170"/>
      <c r="I27" s="35"/>
    </row>
    <row r="28" spans="1:12" s="42" customFormat="1" ht="15" customHeight="1" thickTop="1" thickBot="1" x14ac:dyDescent="0.3">
      <c r="B28" s="45" t="s">
        <v>53</v>
      </c>
      <c r="C28" s="46"/>
      <c r="D28" s="46"/>
      <c r="E28" s="24"/>
      <c r="F28" s="64"/>
      <c r="H28" s="185">
        <f>+H17-H25</f>
        <v>137261</v>
      </c>
      <c r="I28" s="186">
        <f>+I17-I25</f>
        <v>50411</v>
      </c>
      <c r="J28" s="14"/>
      <c r="K28" s="15"/>
      <c r="L28" s="161"/>
    </row>
    <row r="29" spans="1:12" ht="16.5" thickTop="1" x14ac:dyDescent="0.25">
      <c r="B29" s="26"/>
      <c r="C29" s="27"/>
      <c r="D29" s="27"/>
      <c r="E29" s="33"/>
      <c r="F29" s="34"/>
      <c r="H29" s="174">
        <f>IFERROR(VLOOKUP(A29,#REF!,2,0),0)</f>
        <v>0</v>
      </c>
      <c r="I29" s="54">
        <v>0</v>
      </c>
      <c r="J29" s="161"/>
      <c r="K29" s="15"/>
      <c r="L29" s="14"/>
    </row>
    <row r="30" spans="1:12" ht="15.75" x14ac:dyDescent="0.25">
      <c r="A30" s="16" t="s">
        <v>149</v>
      </c>
      <c r="B30" s="36"/>
      <c r="D30" s="16" t="s">
        <v>54</v>
      </c>
      <c r="E30" s="33"/>
      <c r="F30" s="34"/>
      <c r="H30" s="174">
        <v>-13053</v>
      </c>
      <c r="I30" s="54">
        <v>-21476</v>
      </c>
      <c r="J30" s="14"/>
      <c r="K30" s="15"/>
      <c r="L30" s="14"/>
    </row>
    <row r="31" spans="1:12" ht="15" x14ac:dyDescent="0.25">
      <c r="A31" s="16" t="s">
        <v>150</v>
      </c>
      <c r="B31" s="36"/>
      <c r="D31" s="65" t="s">
        <v>55</v>
      </c>
      <c r="E31" s="33"/>
      <c r="F31" s="34"/>
      <c r="H31" s="174">
        <v>0</v>
      </c>
      <c r="I31" s="54"/>
      <c r="J31" s="313"/>
      <c r="K31" s="314"/>
      <c r="L31" s="313"/>
    </row>
    <row r="32" spans="1:12" ht="15" x14ac:dyDescent="0.25">
      <c r="A32" s="16" t="s">
        <v>151</v>
      </c>
      <c r="B32" s="36"/>
      <c r="D32" s="16" t="s">
        <v>56</v>
      </c>
      <c r="E32" s="33"/>
      <c r="F32" s="34"/>
      <c r="H32" s="174"/>
      <c r="I32" s="54"/>
      <c r="J32" s="313"/>
      <c r="K32" s="314"/>
      <c r="L32" s="313"/>
    </row>
    <row r="33" spans="1:12" ht="15.75" x14ac:dyDescent="0.25">
      <c r="A33" s="16" t="s">
        <v>152</v>
      </c>
      <c r="B33" s="36"/>
      <c r="D33" s="16" t="s">
        <v>1</v>
      </c>
      <c r="E33" s="33"/>
      <c r="F33" s="34"/>
      <c r="H33" s="174"/>
      <c r="I33" s="54"/>
      <c r="J33" s="14"/>
      <c r="K33" s="15"/>
      <c r="L33" s="14"/>
    </row>
    <row r="34" spans="1:12" ht="15.75" thickBot="1" x14ac:dyDescent="0.3">
      <c r="B34" s="36"/>
      <c r="E34" s="33"/>
      <c r="F34" s="34"/>
      <c r="H34" s="174">
        <f>IFERROR(VLOOKUP(A34,#REF!,2,0),0)</f>
        <v>0</v>
      </c>
      <c r="I34" s="54">
        <v>0</v>
      </c>
    </row>
    <row r="35" spans="1:12" s="42" customFormat="1" ht="15" customHeight="1" thickTop="1" thickBot="1" x14ac:dyDescent="0.3">
      <c r="B35" s="45" t="s">
        <v>57</v>
      </c>
      <c r="C35" s="46"/>
      <c r="D35" s="46"/>
      <c r="E35" s="24"/>
      <c r="F35" s="64"/>
      <c r="H35" s="185">
        <f>H28+H30+H32+H33</f>
        <v>124208</v>
      </c>
      <c r="I35" s="186">
        <f>SUM(I28:I33)</f>
        <v>28935</v>
      </c>
    </row>
    <row r="36" spans="1:12" ht="15.75" thickTop="1" x14ac:dyDescent="0.25">
      <c r="B36" s="36"/>
      <c r="E36" s="33"/>
      <c r="F36" s="34"/>
      <c r="H36" s="170"/>
      <c r="I36" s="35"/>
    </row>
    <row r="37" spans="1:12" ht="15" x14ac:dyDescent="0.25">
      <c r="A37" s="16" t="s">
        <v>153</v>
      </c>
      <c r="B37" s="36"/>
      <c r="C37" s="37"/>
      <c r="D37" s="16" t="s">
        <v>58</v>
      </c>
      <c r="E37" s="33"/>
      <c r="F37" s="34"/>
      <c r="H37" s="174">
        <v>-25838</v>
      </c>
      <c r="I37" s="54">
        <v>-6126</v>
      </c>
    </row>
    <row r="38" spans="1:12" ht="15.75" thickBot="1" x14ac:dyDescent="0.3">
      <c r="B38" s="36"/>
      <c r="E38" s="33"/>
      <c r="F38" s="34"/>
      <c r="H38" s="170"/>
      <c r="I38" s="35"/>
    </row>
    <row r="39" spans="1:12" s="42" customFormat="1" ht="15" customHeight="1" thickTop="1" thickBot="1" x14ac:dyDescent="0.3">
      <c r="B39" s="45" t="s">
        <v>59</v>
      </c>
      <c r="C39" s="46"/>
      <c r="D39" s="46"/>
      <c r="E39" s="47"/>
      <c r="F39" s="64"/>
      <c r="H39" s="185">
        <f>SUM(H35:H38)</f>
        <v>98370</v>
      </c>
      <c r="I39" s="186">
        <f>SUM(I35:I37)</f>
        <v>22809</v>
      </c>
    </row>
    <row r="40" spans="1:12" ht="15.75" thickTop="1" x14ac:dyDescent="0.3">
      <c r="B40" s="59"/>
      <c r="C40" s="60"/>
      <c r="D40" s="60"/>
      <c r="E40" s="33"/>
      <c r="F40" s="34"/>
      <c r="H40" s="178"/>
      <c r="I40" s="66"/>
    </row>
    <row r="41" spans="1:12" ht="15" x14ac:dyDescent="0.3">
      <c r="A41" s="16" t="s">
        <v>154</v>
      </c>
      <c r="B41" s="59"/>
      <c r="C41" s="60"/>
      <c r="D41" s="16" t="s">
        <v>60</v>
      </c>
      <c r="E41" s="33"/>
      <c r="F41" s="34"/>
      <c r="H41" s="174"/>
      <c r="I41" s="54"/>
    </row>
    <row r="42" spans="1:12" ht="15.75" thickBot="1" x14ac:dyDescent="0.3">
      <c r="B42" s="36"/>
      <c r="E42" s="33"/>
      <c r="F42" s="34"/>
      <c r="H42" s="177"/>
      <c r="I42" s="61"/>
    </row>
    <row r="43" spans="1:12" s="51" customFormat="1" ht="15" customHeight="1" thickTop="1" thickBot="1" x14ac:dyDescent="0.3">
      <c r="B43" s="49" t="s">
        <v>61</v>
      </c>
      <c r="C43" s="50"/>
      <c r="D43" s="50"/>
      <c r="E43" s="47"/>
      <c r="F43" s="64"/>
      <c r="H43" s="185">
        <f>+H39-H41</f>
        <v>98370</v>
      </c>
      <c r="I43" s="186">
        <f>+I39</f>
        <v>22809</v>
      </c>
    </row>
    <row r="44" spans="1:12" ht="15.75" thickTop="1" x14ac:dyDescent="0.25">
      <c r="B44" s="36"/>
      <c r="E44" s="33"/>
      <c r="F44" s="34"/>
      <c r="H44" s="177"/>
      <c r="I44" s="61"/>
    </row>
    <row r="45" spans="1:12" ht="15" x14ac:dyDescent="0.25">
      <c r="A45" s="16" t="s">
        <v>155</v>
      </c>
      <c r="B45" s="36"/>
      <c r="D45" s="16" t="s">
        <v>62</v>
      </c>
      <c r="E45" s="33"/>
      <c r="F45" s="34"/>
      <c r="H45" s="174"/>
      <c r="I45" s="54"/>
    </row>
    <row r="46" spans="1:12" ht="15.75" thickBot="1" x14ac:dyDescent="0.3">
      <c r="B46" s="36"/>
      <c r="E46" s="33"/>
      <c r="F46" s="34"/>
      <c r="H46" s="177"/>
      <c r="I46" s="61"/>
    </row>
    <row r="47" spans="1:12" s="51" customFormat="1" ht="15" customHeight="1" thickTop="1" thickBot="1" x14ac:dyDescent="0.3">
      <c r="B47" s="49" t="s">
        <v>63</v>
      </c>
      <c r="C47" s="50"/>
      <c r="D47" s="50"/>
      <c r="E47" s="47"/>
      <c r="F47" s="64"/>
      <c r="H47" s="185">
        <f>+H43-H45</f>
        <v>98370</v>
      </c>
      <c r="I47" s="186">
        <f>+I43</f>
        <v>22809</v>
      </c>
      <c r="J47" s="41"/>
    </row>
    <row r="48" spans="1:12" ht="6.75" customHeight="1" thickTop="1" x14ac:dyDescent="0.25">
      <c r="H48" s="67"/>
    </row>
    <row r="49" spans="4:11" ht="13.5" x14ac:dyDescent="0.25"/>
    <row r="50" spans="4:11" ht="13.5" x14ac:dyDescent="0.25">
      <c r="I50" s="77"/>
    </row>
    <row r="51" spans="4:11" ht="13.5" x14ac:dyDescent="0.25"/>
    <row r="52" spans="4:11" ht="13.5" x14ac:dyDescent="0.25">
      <c r="K52" s="77"/>
    </row>
    <row r="53" spans="4:11" ht="13.5" x14ac:dyDescent="0.25"/>
    <row r="54" spans="4:11" ht="13.5" x14ac:dyDescent="0.25">
      <c r="D54" s="53"/>
    </row>
    <row r="55" spans="4:11" ht="13.5" x14ac:dyDescent="0.25">
      <c r="D55" s="53"/>
    </row>
    <row r="56" spans="4:11" ht="13.5" customHeight="1" x14ac:dyDescent="0.25"/>
    <row r="57" spans="4:11" ht="15" customHeight="1" x14ac:dyDescent="0.25"/>
  </sheetData>
  <mergeCells count="6">
    <mergeCell ref="B2:I2"/>
    <mergeCell ref="L31:L32"/>
    <mergeCell ref="J31:J32"/>
    <mergeCell ref="K31:K32"/>
    <mergeCell ref="B4:I4"/>
    <mergeCell ref="B6:I6"/>
  </mergeCells>
  <printOptions horizontalCentered="1"/>
  <pageMargins left="0.78740157480314965" right="0.59055118110236227" top="0.6692913385826772" bottom="0.86614173228346458" header="0.51181102362204722" footer="0.51181102362204722"/>
  <pageSetup paperSize="9" scale="84" orientation="portrait" r:id="rId1"/>
  <headerFooter alignWithMargins="0">
    <oddFooter>&amp;C6</oddFooter>
  </headerFooter>
  <ignoredErrors>
    <ignoredError sqref="I2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76"/>
  <sheetViews>
    <sheetView showGridLines="0" showZeros="0" topLeftCell="B19" zoomScaleNormal="100" zoomScaleSheetLayoutView="80" workbookViewId="0">
      <selection activeCell="H37" sqref="H37"/>
    </sheetView>
  </sheetViews>
  <sheetFormatPr baseColWidth="10" defaultColWidth="8.85546875" defaultRowHeight="13.5" x14ac:dyDescent="0.25"/>
  <cols>
    <col min="1" max="1" width="5.85546875" style="68" hidden="1" customWidth="1"/>
    <col min="2" max="2" width="2.85546875" style="68" customWidth="1"/>
    <col min="3" max="3" width="2.5703125" style="68" customWidth="1"/>
    <col min="4" max="4" width="1.7109375" style="68" customWidth="1"/>
    <col min="5" max="5" width="44.140625" style="68" customWidth="1"/>
    <col min="6" max="6" width="5.85546875" style="68" customWidth="1"/>
    <col min="7" max="7" width="15.28515625" style="68" hidden="1" customWidth="1"/>
    <col min="8" max="8" width="14.5703125" style="68" customWidth="1"/>
    <col min="9" max="9" width="15.85546875" style="68" customWidth="1"/>
    <col min="10" max="10" width="9.5703125" style="68" bestFit="1" customWidth="1"/>
    <col min="11" max="16384" width="8.85546875" style="68"/>
  </cols>
  <sheetData>
    <row r="1" spans="1:10" hidden="1" x14ac:dyDescent="0.25"/>
    <row r="2" spans="1:10" ht="16.5" x14ac:dyDescent="0.3">
      <c r="B2" s="311" t="str">
        <f>+RT!B2</f>
        <v>ANIMAL CITY</v>
      </c>
      <c r="C2" s="311"/>
      <c r="D2" s="311"/>
      <c r="E2" s="311"/>
      <c r="F2" s="311"/>
      <c r="G2" s="311"/>
      <c r="H2" s="311"/>
      <c r="I2" s="311"/>
    </row>
    <row r="3" spans="1:10" ht="16.5" x14ac:dyDescent="0.3">
      <c r="B3" s="263"/>
      <c r="C3" s="116"/>
      <c r="D3" s="116"/>
      <c r="E3" s="117"/>
      <c r="F3" s="117"/>
      <c r="G3" s="117"/>
      <c r="H3" s="117"/>
    </row>
    <row r="4" spans="1:10" ht="15" x14ac:dyDescent="0.3">
      <c r="B4" s="308" t="s">
        <v>358</v>
      </c>
      <c r="C4" s="308"/>
      <c r="D4" s="308"/>
      <c r="E4" s="308"/>
      <c r="F4" s="308"/>
      <c r="G4" s="308"/>
      <c r="H4" s="308"/>
      <c r="I4" s="308"/>
    </row>
    <row r="5" spans="1:10" x14ac:dyDescent="0.25">
      <c r="B5" s="116"/>
      <c r="C5" s="116"/>
      <c r="D5" s="116"/>
      <c r="E5" s="116"/>
      <c r="F5" s="116"/>
      <c r="G5" s="116"/>
      <c r="H5" s="116"/>
    </row>
    <row r="6" spans="1:10" ht="15" x14ac:dyDescent="0.3">
      <c r="B6" s="312" t="s">
        <v>2</v>
      </c>
      <c r="C6" s="312"/>
      <c r="D6" s="312"/>
      <c r="E6" s="312"/>
      <c r="F6" s="312"/>
      <c r="G6" s="312"/>
      <c r="H6" s="312"/>
      <c r="I6" s="312"/>
    </row>
    <row r="7" spans="1:10" ht="15" x14ac:dyDescent="0.3">
      <c r="B7" s="20"/>
      <c r="C7" s="20"/>
      <c r="D7" s="20"/>
      <c r="E7" s="20"/>
      <c r="F7" s="20"/>
      <c r="G7" s="20"/>
      <c r="H7" s="20"/>
    </row>
    <row r="8" spans="1:10" ht="14.25" thickBot="1" x14ac:dyDescent="0.3">
      <c r="B8" s="16"/>
      <c r="C8" s="16"/>
      <c r="D8" s="16"/>
      <c r="E8" s="16"/>
      <c r="F8" s="16"/>
      <c r="G8" s="16"/>
      <c r="H8" s="16"/>
    </row>
    <row r="9" spans="1:10" ht="16.5" thickTop="1" thickBot="1" x14ac:dyDescent="0.3">
      <c r="B9" s="118"/>
      <c r="C9" s="69"/>
      <c r="D9" s="69"/>
      <c r="E9" s="69"/>
      <c r="F9" s="69" t="s">
        <v>4</v>
      </c>
      <c r="H9" s="183">
        <f>+'SIG '!F8</f>
        <v>46022</v>
      </c>
      <c r="I9" s="184">
        <v>45657</v>
      </c>
    </row>
    <row r="10" spans="1:10" ht="15.75" thickTop="1" x14ac:dyDescent="0.25">
      <c r="B10" s="26"/>
      <c r="C10" s="27"/>
      <c r="D10" s="27"/>
      <c r="E10" s="27"/>
      <c r="F10" s="291"/>
      <c r="H10" s="173"/>
      <c r="I10" s="35"/>
    </row>
    <row r="11" spans="1:10" ht="15" x14ac:dyDescent="0.3">
      <c r="B11" s="31" t="s">
        <v>64</v>
      </c>
      <c r="C11" s="37"/>
      <c r="D11" s="32"/>
      <c r="E11" s="32"/>
      <c r="F11" s="292"/>
      <c r="H11" s="170"/>
      <c r="I11" s="35"/>
    </row>
    <row r="12" spans="1:10" ht="15" x14ac:dyDescent="0.25">
      <c r="B12" s="36"/>
      <c r="C12" s="16"/>
      <c r="D12" s="16"/>
      <c r="E12" s="16"/>
      <c r="F12" s="292"/>
      <c r="H12" s="179"/>
      <c r="I12" s="54"/>
    </row>
    <row r="13" spans="1:10" ht="15" x14ac:dyDescent="0.3">
      <c r="B13" s="70"/>
      <c r="C13" s="20" t="s">
        <v>65</v>
      </c>
      <c r="D13" s="20"/>
      <c r="E13" s="20"/>
      <c r="F13" s="292"/>
      <c r="H13" s="174">
        <f>+RT!H47</f>
        <v>98370</v>
      </c>
      <c r="I13" s="158">
        <v>22810</v>
      </c>
    </row>
    <row r="14" spans="1:10" ht="15" x14ac:dyDescent="0.25">
      <c r="B14" s="36"/>
      <c r="C14" s="16" t="s">
        <v>66</v>
      </c>
      <c r="D14" s="16"/>
      <c r="E14" s="16"/>
      <c r="F14" s="292"/>
      <c r="H14" s="174">
        <f>IFERROR(VLOOKUP(A14,#REF!,2,0),0)</f>
        <v>0</v>
      </c>
      <c r="I14" s="54"/>
    </row>
    <row r="15" spans="1:10" ht="15" x14ac:dyDescent="0.25">
      <c r="A15" s="68" t="s">
        <v>142</v>
      </c>
      <c r="B15" s="36"/>
      <c r="C15" s="16"/>
      <c r="D15" s="16" t="s">
        <v>67</v>
      </c>
      <c r="E15" s="16"/>
      <c r="F15" s="292"/>
      <c r="H15" s="174">
        <f>+RT!H23</f>
        <v>66450</v>
      </c>
      <c r="I15" s="158">
        <v>65973</v>
      </c>
    </row>
    <row r="16" spans="1:10" ht="15" x14ac:dyDescent="0.25">
      <c r="B16" s="36"/>
      <c r="C16" s="16"/>
      <c r="D16" s="16" t="s">
        <v>68</v>
      </c>
      <c r="E16" s="16"/>
      <c r="F16" s="292"/>
      <c r="H16" s="174">
        <f>IFERROR(VLOOKUP(A16,#REF!,2,0),0)</f>
        <v>0</v>
      </c>
      <c r="I16" s="54">
        <v>0</v>
      </c>
      <c r="J16" s="78"/>
    </row>
    <row r="17" spans="1:13" ht="15" x14ac:dyDescent="0.25">
      <c r="A17" s="68" t="s">
        <v>143</v>
      </c>
      <c r="B17" s="36"/>
      <c r="C17" s="16"/>
      <c r="D17" s="16"/>
      <c r="E17" s="71" t="s">
        <v>69</v>
      </c>
      <c r="F17" s="292"/>
      <c r="H17" s="174">
        <f>-ACTIF!I39+ACTIF!L39</f>
        <v>-11265</v>
      </c>
      <c r="I17" s="54">
        <v>49516</v>
      </c>
    </row>
    <row r="18" spans="1:13" ht="15" x14ac:dyDescent="0.25">
      <c r="A18" s="68" t="s">
        <v>144</v>
      </c>
      <c r="B18" s="36"/>
      <c r="C18" s="16"/>
      <c r="D18" s="16"/>
      <c r="E18" s="71" t="s">
        <v>70</v>
      </c>
      <c r="F18" s="292"/>
      <c r="H18" s="174">
        <f>-ACTIF!I43+ACTIF!L43</f>
        <v>-5005</v>
      </c>
      <c r="I18" s="54">
        <v>93</v>
      </c>
    </row>
    <row r="19" spans="1:13" ht="15" x14ac:dyDescent="0.25">
      <c r="A19" s="68" t="s">
        <v>145</v>
      </c>
      <c r="B19" s="36"/>
      <c r="C19" s="16"/>
      <c r="D19" s="16"/>
      <c r="E19" s="71" t="s">
        <v>71</v>
      </c>
      <c r="F19" s="292"/>
      <c r="H19" s="174">
        <f>-ACTIF!I47+ACTIF!L47</f>
        <v>-6607</v>
      </c>
      <c r="I19" s="54">
        <v>107496</v>
      </c>
      <c r="M19" s="78"/>
    </row>
    <row r="20" spans="1:13" ht="15" x14ac:dyDescent="0.25">
      <c r="A20" s="68" t="s">
        <v>146</v>
      </c>
      <c r="B20" s="36"/>
      <c r="C20" s="16"/>
      <c r="D20" s="16"/>
      <c r="E20" s="71" t="s">
        <v>72</v>
      </c>
      <c r="F20" s="292"/>
      <c r="H20" s="174">
        <f>PASSIF!H43-PASSIF!J43+1425</f>
        <v>87898</v>
      </c>
      <c r="I20" s="158">
        <v>35895</v>
      </c>
    </row>
    <row r="21" spans="1:13" ht="15" x14ac:dyDescent="0.25">
      <c r="A21" s="68" t="s">
        <v>147</v>
      </c>
      <c r="B21" s="36"/>
      <c r="C21" s="16"/>
      <c r="D21" s="16" t="s">
        <v>73</v>
      </c>
      <c r="E21" s="71"/>
      <c r="F21" s="292"/>
      <c r="H21" s="179"/>
      <c r="I21" s="54"/>
      <c r="J21" s="78"/>
    </row>
    <row r="22" spans="1:13" ht="15" x14ac:dyDescent="0.25">
      <c r="A22" s="68" t="s">
        <v>148</v>
      </c>
      <c r="B22" s="36"/>
      <c r="C22" s="16"/>
      <c r="D22" s="16" t="s">
        <v>74</v>
      </c>
      <c r="E22" s="71"/>
      <c r="F22" s="292"/>
      <c r="H22" s="174">
        <f>IFERROR(VLOOKUP(A22,#REF!,2,0),0)</f>
        <v>0</v>
      </c>
      <c r="I22" s="54">
        <v>0</v>
      </c>
    </row>
    <row r="23" spans="1:13" ht="15.75" thickBot="1" x14ac:dyDescent="0.3">
      <c r="B23" s="36"/>
      <c r="C23" s="16"/>
      <c r="D23" s="16"/>
      <c r="E23" s="16"/>
      <c r="F23" s="293"/>
      <c r="H23" s="174">
        <f>IFERROR(VLOOKUP(A23,#REF!,2,0),0)</f>
        <v>0</v>
      </c>
      <c r="I23" s="54">
        <v>0</v>
      </c>
    </row>
    <row r="24" spans="1:13" ht="15" thickTop="1" thickBot="1" x14ac:dyDescent="0.3">
      <c r="B24" s="45" t="s">
        <v>64</v>
      </c>
      <c r="C24" s="46"/>
      <c r="D24" s="46"/>
      <c r="E24" s="46"/>
      <c r="F24" s="46"/>
      <c r="H24" s="185">
        <f>SUM(H13:H23)</f>
        <v>229841</v>
      </c>
      <c r="I24" s="186">
        <f>SUM(I13:I20)</f>
        <v>281783</v>
      </c>
    </row>
    <row r="25" spans="1:13" ht="15.75" thickTop="1" x14ac:dyDescent="0.25">
      <c r="B25" s="36"/>
      <c r="C25" s="16"/>
      <c r="D25" s="16"/>
      <c r="E25" s="16"/>
      <c r="F25" s="292"/>
      <c r="H25" s="170"/>
      <c r="I25" s="35"/>
    </row>
    <row r="26" spans="1:13" ht="15" x14ac:dyDescent="0.3">
      <c r="B26" s="31" t="s">
        <v>75</v>
      </c>
      <c r="C26" s="37"/>
      <c r="D26" s="32"/>
      <c r="E26" s="32"/>
      <c r="F26" s="292"/>
      <c r="H26" s="170"/>
      <c r="I26" s="35"/>
    </row>
    <row r="27" spans="1:13" ht="17.25" customHeight="1" x14ac:dyDescent="0.25">
      <c r="B27" s="36"/>
      <c r="C27" s="16"/>
      <c r="D27" s="16"/>
      <c r="E27" s="16"/>
      <c r="F27" s="292"/>
      <c r="H27" s="174"/>
      <c r="I27" s="54"/>
    </row>
    <row r="28" spans="1:13" ht="15" x14ac:dyDescent="0.25">
      <c r="A28" s="68" t="s">
        <v>149</v>
      </c>
      <c r="B28" s="36"/>
      <c r="C28" s="16"/>
      <c r="D28" s="16" t="s">
        <v>76</v>
      </c>
      <c r="E28" s="16"/>
      <c r="F28" s="292"/>
      <c r="H28" s="174">
        <f>+ACTIF!L19-ACTIF!I19</f>
        <v>-3161</v>
      </c>
      <c r="I28" s="54">
        <v>-5303</v>
      </c>
    </row>
    <row r="29" spans="1:13" ht="15" x14ac:dyDescent="0.25">
      <c r="A29" s="68" t="s">
        <v>150</v>
      </c>
      <c r="B29" s="36"/>
      <c r="C29" s="16"/>
      <c r="D29" s="16" t="s">
        <v>77</v>
      </c>
      <c r="E29" s="16"/>
      <c r="F29" s="292"/>
      <c r="H29" s="174">
        <f>IFERROR(VLOOKUP(A29,#REF!,2,0),0)</f>
        <v>0</v>
      </c>
      <c r="I29" s="54">
        <v>0</v>
      </c>
    </row>
    <row r="30" spans="1:13" ht="15" x14ac:dyDescent="0.25">
      <c r="A30" s="68" t="s">
        <v>151</v>
      </c>
      <c r="B30" s="36"/>
      <c r="C30" s="16"/>
      <c r="D30" s="16" t="s">
        <v>105</v>
      </c>
      <c r="E30" s="16"/>
      <c r="F30" s="292"/>
      <c r="H30" s="174">
        <f>IFERROR(VLOOKUP(A30,#REF!,2,0),0)</f>
        <v>0</v>
      </c>
      <c r="I30" s="54">
        <v>0</v>
      </c>
    </row>
    <row r="31" spans="1:13" ht="15" x14ac:dyDescent="0.25">
      <c r="A31" s="68" t="s">
        <v>152</v>
      </c>
      <c r="B31" s="36"/>
      <c r="C31" s="16"/>
      <c r="D31" s="16" t="s">
        <v>187</v>
      </c>
      <c r="E31" s="16"/>
      <c r="F31" s="292"/>
      <c r="H31" s="174"/>
      <c r="I31" s="54"/>
    </row>
    <row r="32" spans="1:13" ht="15.75" thickBot="1" x14ac:dyDescent="0.3">
      <c r="B32" s="36"/>
      <c r="C32" s="16"/>
      <c r="D32" s="16"/>
      <c r="E32" s="16"/>
      <c r="F32" s="292"/>
      <c r="H32" s="174">
        <f>IFERROR(VLOOKUP(A32,#REF!,2,0),0)</f>
        <v>0</v>
      </c>
      <c r="I32" s="54">
        <v>0</v>
      </c>
    </row>
    <row r="33" spans="1:10" ht="15" thickTop="1" thickBot="1" x14ac:dyDescent="0.3">
      <c r="B33" s="45" t="s">
        <v>75</v>
      </c>
      <c r="C33" s="46"/>
      <c r="D33" s="46"/>
      <c r="E33" s="46"/>
      <c r="F33" s="46"/>
      <c r="H33" s="185">
        <f>SUM(H25:H32)</f>
        <v>-3161</v>
      </c>
      <c r="I33" s="186">
        <f>+I28+I31</f>
        <v>-5303</v>
      </c>
    </row>
    <row r="34" spans="1:10" ht="15.75" thickTop="1" x14ac:dyDescent="0.25">
      <c r="B34" s="36"/>
      <c r="C34" s="16"/>
      <c r="D34" s="16"/>
      <c r="E34" s="16"/>
      <c r="F34" s="292"/>
      <c r="H34" s="170"/>
      <c r="I34" s="35"/>
    </row>
    <row r="35" spans="1:10" ht="15" x14ac:dyDescent="0.3">
      <c r="B35" s="31" t="s">
        <v>78</v>
      </c>
      <c r="C35" s="37"/>
      <c r="D35" s="32"/>
      <c r="E35" s="32"/>
      <c r="F35" s="292"/>
      <c r="H35" s="170"/>
      <c r="I35" s="35"/>
    </row>
    <row r="36" spans="1:10" ht="15" x14ac:dyDescent="0.3">
      <c r="B36" s="31"/>
      <c r="C36" s="37"/>
      <c r="D36" s="32"/>
      <c r="E36" s="32"/>
      <c r="F36" s="292"/>
      <c r="H36" s="174"/>
      <c r="I36" s="54"/>
    </row>
    <row r="37" spans="1:10" ht="15" x14ac:dyDescent="0.25">
      <c r="A37" s="68" t="s">
        <v>153</v>
      </c>
      <c r="B37" s="36"/>
      <c r="C37" s="16"/>
      <c r="D37" s="16" t="s">
        <v>159</v>
      </c>
      <c r="E37" s="16"/>
      <c r="F37" s="292"/>
      <c r="H37" s="174"/>
      <c r="I37" s="54"/>
    </row>
    <row r="38" spans="1:10" ht="15" x14ac:dyDescent="0.25">
      <c r="A38" s="68" t="s">
        <v>154</v>
      </c>
      <c r="B38" s="36"/>
      <c r="C38" s="16"/>
      <c r="D38" s="16" t="s">
        <v>106</v>
      </c>
      <c r="E38" s="16"/>
      <c r="F38" s="292"/>
      <c r="H38" s="174">
        <v>-40000</v>
      </c>
      <c r="I38" s="54">
        <v>-160000</v>
      </c>
    </row>
    <row r="39" spans="1:10" ht="15" x14ac:dyDescent="0.25">
      <c r="A39" s="68" t="s">
        <v>155</v>
      </c>
      <c r="B39" s="36"/>
      <c r="C39" s="16"/>
      <c r="D39" s="16" t="s">
        <v>79</v>
      </c>
      <c r="E39" s="16"/>
      <c r="F39" s="292"/>
      <c r="H39" s="174"/>
      <c r="I39" s="54"/>
    </row>
    <row r="40" spans="1:10" ht="15" x14ac:dyDescent="0.25">
      <c r="A40" s="68" t="s">
        <v>156</v>
      </c>
      <c r="B40" s="36"/>
      <c r="C40" s="16"/>
      <c r="D40" s="16" t="s">
        <v>80</v>
      </c>
      <c r="E40" s="16"/>
      <c r="F40" s="292"/>
      <c r="H40" s="174">
        <f>+PASSIF!H31-PASSIF!J31</f>
        <v>-30067</v>
      </c>
      <c r="I40" s="54">
        <v>-38255</v>
      </c>
    </row>
    <row r="41" spans="1:10" ht="15.75" thickBot="1" x14ac:dyDescent="0.3">
      <c r="B41" s="36"/>
      <c r="C41" s="16"/>
      <c r="D41" s="16"/>
      <c r="E41" s="16"/>
      <c r="F41" s="292"/>
      <c r="H41" s="170"/>
      <c r="I41" s="35"/>
    </row>
    <row r="42" spans="1:10" ht="15" thickTop="1" thickBot="1" x14ac:dyDescent="0.3">
      <c r="B42" s="45" t="s">
        <v>78</v>
      </c>
      <c r="C42" s="46"/>
      <c r="D42" s="46"/>
      <c r="E42" s="46"/>
      <c r="F42" s="46"/>
      <c r="H42" s="185">
        <f>SUM(H37:H41)</f>
        <v>-70067</v>
      </c>
      <c r="I42" s="186">
        <f>SUM(I38:I41)</f>
        <v>-198255</v>
      </c>
    </row>
    <row r="43" spans="1:10" ht="15.75" thickTop="1" x14ac:dyDescent="0.25">
      <c r="B43" s="36"/>
      <c r="C43" s="16"/>
      <c r="D43" s="16"/>
      <c r="E43" s="16"/>
      <c r="F43" s="292"/>
      <c r="H43" s="170"/>
      <c r="I43" s="35"/>
    </row>
    <row r="44" spans="1:10" ht="15" x14ac:dyDescent="0.25">
      <c r="A44" s="68" t="s">
        <v>157</v>
      </c>
      <c r="B44" s="36"/>
      <c r="C44" s="16"/>
      <c r="D44" s="16" t="s">
        <v>81</v>
      </c>
      <c r="E44" s="16"/>
      <c r="F44" s="292"/>
      <c r="H44" s="170"/>
      <c r="I44" s="35"/>
    </row>
    <row r="45" spans="1:10" ht="15" x14ac:dyDescent="0.25">
      <c r="A45" s="68" t="s">
        <v>158</v>
      </c>
      <c r="B45" s="36"/>
      <c r="C45" s="16"/>
      <c r="D45" s="16" t="s">
        <v>82</v>
      </c>
      <c r="E45" s="16"/>
      <c r="F45" s="292"/>
      <c r="H45" s="174"/>
      <c r="I45" s="35"/>
    </row>
    <row r="46" spans="1:10" ht="15.75" thickBot="1" x14ac:dyDescent="0.3">
      <c r="B46" s="36"/>
      <c r="C46" s="16"/>
      <c r="D46" s="16"/>
      <c r="E46" s="16"/>
      <c r="F46" s="292"/>
      <c r="H46" s="170"/>
      <c r="I46" s="35"/>
    </row>
    <row r="47" spans="1:10" ht="16.5" thickTop="1" thickBot="1" x14ac:dyDescent="0.3">
      <c r="B47" s="49" t="s">
        <v>83</v>
      </c>
      <c r="C47" s="50"/>
      <c r="D47" s="50"/>
      <c r="E47" s="50"/>
      <c r="F47" s="50"/>
      <c r="H47" s="187">
        <f>+H24+H33+H42+H45</f>
        <v>156613</v>
      </c>
      <c r="I47" s="188">
        <f>+I24+I33+I42</f>
        <v>78225</v>
      </c>
      <c r="J47" s="78"/>
    </row>
    <row r="48" spans="1:10" ht="15.75" thickTop="1" x14ac:dyDescent="0.25">
      <c r="B48" s="72"/>
      <c r="C48" s="73"/>
      <c r="D48" s="73"/>
      <c r="E48" s="73"/>
      <c r="F48" s="291"/>
      <c r="H48" s="170"/>
      <c r="I48" s="35"/>
    </row>
    <row r="49" spans="2:12" ht="15" x14ac:dyDescent="0.25">
      <c r="B49" s="74"/>
      <c r="C49" s="63"/>
      <c r="D49" s="63" t="s">
        <v>84</v>
      </c>
      <c r="E49" s="63"/>
      <c r="F49" s="292"/>
      <c r="H49" s="174">
        <v>110339</v>
      </c>
      <c r="I49" s="54">
        <v>32114</v>
      </c>
      <c r="J49" s="78"/>
    </row>
    <row r="50" spans="2:12" ht="15" x14ac:dyDescent="0.25">
      <c r="B50" s="74"/>
      <c r="C50" s="63"/>
      <c r="D50" s="63" t="s">
        <v>85</v>
      </c>
      <c r="E50" s="63"/>
      <c r="F50" s="292"/>
      <c r="H50" s="174">
        <f>+ACTIF!I53</f>
        <v>266952</v>
      </c>
      <c r="I50" s="54">
        <v>110339</v>
      </c>
      <c r="K50" s="78">
        <f>+I50-H49</f>
        <v>0</v>
      </c>
    </row>
    <row r="51" spans="2:12" ht="15.75" thickBot="1" x14ac:dyDescent="0.3">
      <c r="B51" s="75"/>
      <c r="C51" s="76"/>
      <c r="D51" s="76"/>
      <c r="E51" s="76"/>
      <c r="F51" s="292"/>
      <c r="H51" s="170"/>
      <c r="I51" s="35"/>
    </row>
    <row r="52" spans="2:12" ht="16.5" thickTop="1" thickBot="1" x14ac:dyDescent="0.3">
      <c r="B52" s="49" t="s">
        <v>83</v>
      </c>
      <c r="C52" s="50"/>
      <c r="D52" s="50"/>
      <c r="E52" s="50"/>
      <c r="F52" s="50"/>
      <c r="H52" s="187">
        <f>H50-H49</f>
        <v>156613</v>
      </c>
      <c r="I52" s="188">
        <f>+I50-I49</f>
        <v>78225</v>
      </c>
    </row>
    <row r="53" spans="2:12" ht="14.25" thickTop="1" x14ac:dyDescent="0.25">
      <c r="B53" s="16"/>
      <c r="C53" s="16"/>
      <c r="D53" s="16"/>
      <c r="E53" s="16"/>
      <c r="F53" s="16"/>
      <c r="G53" s="16"/>
      <c r="H53" s="197">
        <f>+H47-H52</f>
        <v>0</v>
      </c>
      <c r="I53" s="196"/>
    </row>
    <row r="54" spans="2:12" x14ac:dyDescent="0.25">
      <c r="B54" s="16"/>
      <c r="C54" s="16"/>
      <c r="D54" s="16"/>
      <c r="E54" s="16"/>
      <c r="F54" s="16"/>
      <c r="G54" s="16"/>
      <c r="H54" s="197"/>
      <c r="I54" s="196"/>
    </row>
    <row r="55" spans="2:12" x14ac:dyDescent="0.25">
      <c r="B55" s="16"/>
      <c r="C55" s="16"/>
      <c r="D55" s="16"/>
      <c r="E55" s="16"/>
      <c r="F55" s="16"/>
      <c r="G55" s="16"/>
      <c r="H55" s="197">
        <f>+H53/2</f>
        <v>0</v>
      </c>
      <c r="I55" s="196"/>
      <c r="L55" s="78"/>
    </row>
    <row r="56" spans="2:12" x14ac:dyDescent="0.25">
      <c r="B56" s="16"/>
      <c r="C56" s="16"/>
      <c r="D56" s="16"/>
      <c r="E56" s="16"/>
      <c r="F56" s="16"/>
      <c r="G56" s="16"/>
      <c r="H56" s="177"/>
      <c r="I56" s="198"/>
    </row>
    <row r="57" spans="2:12" x14ac:dyDescent="0.25">
      <c r="B57" s="16"/>
      <c r="C57" s="16"/>
      <c r="D57" s="16"/>
      <c r="E57" s="16"/>
      <c r="F57" s="16"/>
      <c r="G57" s="16"/>
      <c r="H57" s="197"/>
      <c r="I57" s="196"/>
    </row>
    <row r="58" spans="2:12" x14ac:dyDescent="0.25">
      <c r="B58" s="16"/>
      <c r="C58" s="16"/>
      <c r="D58" s="16"/>
      <c r="E58" s="53"/>
      <c r="F58" s="53"/>
      <c r="G58" s="53"/>
      <c r="H58" s="199"/>
      <c r="I58" s="196"/>
    </row>
    <row r="59" spans="2:12" x14ac:dyDescent="0.25">
      <c r="B59" s="16"/>
      <c r="C59" s="16"/>
      <c r="D59" s="16"/>
      <c r="E59" s="53"/>
      <c r="F59" s="53"/>
      <c r="G59" s="53"/>
      <c r="H59" s="199"/>
      <c r="I59" s="196"/>
    </row>
    <row r="60" spans="2:12" x14ac:dyDescent="0.25">
      <c r="B60" s="16"/>
      <c r="C60" s="16"/>
      <c r="D60" s="16"/>
      <c r="E60" s="16"/>
      <c r="F60" s="16"/>
      <c r="G60" s="16"/>
      <c r="H60" s="177"/>
      <c r="I60" s="196"/>
    </row>
    <row r="61" spans="2:12" x14ac:dyDescent="0.25">
      <c r="B61" s="16"/>
      <c r="C61" s="16"/>
      <c r="D61" s="16"/>
      <c r="E61" s="16"/>
      <c r="F61" s="16"/>
      <c r="G61" s="16"/>
      <c r="H61" s="177"/>
      <c r="I61" s="196"/>
    </row>
    <row r="62" spans="2:12" x14ac:dyDescent="0.25">
      <c r="H62" s="196"/>
      <c r="I62" s="196"/>
    </row>
    <row r="63" spans="2:12" x14ac:dyDescent="0.25">
      <c r="H63" s="196"/>
      <c r="I63" s="196"/>
    </row>
    <row r="64" spans="2:12" x14ac:dyDescent="0.25">
      <c r="H64" s="196"/>
      <c r="I64" s="196"/>
    </row>
    <row r="65" spans="8:9" x14ac:dyDescent="0.25">
      <c r="H65" s="196"/>
      <c r="I65" s="196"/>
    </row>
    <row r="66" spans="8:9" x14ac:dyDescent="0.25">
      <c r="H66" s="196"/>
      <c r="I66" s="196"/>
    </row>
    <row r="67" spans="8:9" x14ac:dyDescent="0.25">
      <c r="H67" s="196"/>
      <c r="I67" s="196"/>
    </row>
    <row r="68" spans="8:9" x14ac:dyDescent="0.25">
      <c r="H68" s="196"/>
      <c r="I68" s="196"/>
    </row>
    <row r="69" spans="8:9" x14ac:dyDescent="0.25">
      <c r="H69" s="196"/>
      <c r="I69" s="196"/>
    </row>
    <row r="70" spans="8:9" x14ac:dyDescent="0.25">
      <c r="H70" s="196"/>
      <c r="I70" s="196"/>
    </row>
    <row r="71" spans="8:9" x14ac:dyDescent="0.25">
      <c r="H71" s="196"/>
      <c r="I71" s="196"/>
    </row>
    <row r="72" spans="8:9" x14ac:dyDescent="0.25">
      <c r="H72" s="196"/>
      <c r="I72" s="196"/>
    </row>
    <row r="73" spans="8:9" x14ac:dyDescent="0.25">
      <c r="H73" s="196"/>
      <c r="I73" s="196"/>
    </row>
    <row r="74" spans="8:9" x14ac:dyDescent="0.25">
      <c r="H74" s="196"/>
      <c r="I74" s="196"/>
    </row>
    <row r="75" spans="8:9" x14ac:dyDescent="0.25">
      <c r="H75" s="196"/>
      <c r="I75" s="196"/>
    </row>
    <row r="76" spans="8:9" x14ac:dyDescent="0.25">
      <c r="H76" s="196"/>
      <c r="I76" s="196"/>
    </row>
  </sheetData>
  <mergeCells count="3">
    <mergeCell ref="B4:I4"/>
    <mergeCell ref="B6:I6"/>
    <mergeCell ref="B2:I2"/>
  </mergeCells>
  <printOptions horizontalCentered="1"/>
  <pageMargins left="0.70866141732283472" right="0.59055118110236227" top="0.70866141732283472" bottom="0.98425196850393704" header="0.51181102362204722" footer="0.51181102362204722"/>
  <pageSetup paperSize="9" scale="86" orientation="portrait" r:id="rId1"/>
  <headerFooter alignWithMargins="0">
    <oddFooter>&amp;C7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7"/>
  <sheetViews>
    <sheetView tabSelected="1" topLeftCell="A21" zoomScaleNormal="100" zoomScaleSheetLayoutView="100" workbookViewId="0">
      <selection sqref="A1:G52"/>
    </sheetView>
  </sheetViews>
  <sheetFormatPr baseColWidth="10" defaultRowHeight="15" x14ac:dyDescent="0.25"/>
  <cols>
    <col min="1" max="1" width="2.85546875" style="1" customWidth="1"/>
    <col min="2" max="2" width="4.28515625" style="1" customWidth="1"/>
    <col min="3" max="3" width="41.140625" style="1" customWidth="1"/>
    <col min="4" max="4" width="7.28515625" style="1" customWidth="1"/>
    <col min="5" max="5" width="17" style="1" hidden="1" customWidth="1"/>
    <col min="6" max="6" width="17.5703125" style="1" customWidth="1"/>
    <col min="7" max="7" width="17.140625" customWidth="1"/>
  </cols>
  <sheetData>
    <row r="1" spans="1:7" x14ac:dyDescent="0.25">
      <c r="A1" s="119"/>
      <c r="B1" s="119"/>
      <c r="C1" s="119"/>
      <c r="D1" s="119"/>
      <c r="E1" s="119"/>
      <c r="F1" s="120"/>
      <c r="G1" s="159"/>
    </row>
    <row r="2" spans="1:7" ht="16.5" customHeight="1" x14ac:dyDescent="0.3">
      <c r="A2" s="311" t="str">
        <f>+FLUX!B2</f>
        <v>ANIMAL CITY</v>
      </c>
      <c r="B2" s="311"/>
      <c r="C2" s="311"/>
      <c r="D2" s="311"/>
      <c r="E2" s="311"/>
      <c r="F2" s="311"/>
      <c r="G2" s="311"/>
    </row>
    <row r="3" spans="1:7" ht="5.25" customHeight="1" x14ac:dyDescent="0.25">
      <c r="A3" s="121"/>
      <c r="B3" s="121"/>
      <c r="C3" s="121"/>
      <c r="D3" s="121"/>
      <c r="E3" s="121"/>
      <c r="F3" s="121"/>
      <c r="G3" s="159"/>
    </row>
    <row r="4" spans="1:7" ht="15.75" x14ac:dyDescent="0.3">
      <c r="A4" s="308" t="s">
        <v>359</v>
      </c>
      <c r="B4" s="308"/>
      <c r="C4" s="308"/>
      <c r="D4" s="308"/>
      <c r="E4" s="308"/>
      <c r="F4" s="308"/>
      <c r="G4" s="308"/>
    </row>
    <row r="5" spans="1:7" ht="6" customHeight="1" x14ac:dyDescent="0.3">
      <c r="A5" s="122"/>
      <c r="B5" s="122"/>
      <c r="C5" s="122"/>
      <c r="D5" s="122"/>
      <c r="E5" s="122"/>
      <c r="F5" s="122"/>
      <c r="G5" s="159"/>
    </row>
    <row r="6" spans="1:7" ht="15.75" x14ac:dyDescent="0.3">
      <c r="A6" s="315" t="s">
        <v>2</v>
      </c>
      <c r="B6" s="315"/>
      <c r="C6" s="315"/>
      <c r="D6" s="315"/>
      <c r="E6" s="315"/>
      <c r="F6" s="315"/>
      <c r="G6" s="315"/>
    </row>
    <row r="7" spans="1:7" ht="15.75" thickBot="1" x14ac:dyDescent="0.3">
      <c r="A7" s="119"/>
      <c r="B7" s="119"/>
      <c r="C7" s="119"/>
      <c r="D7" s="119"/>
      <c r="E7" s="119"/>
      <c r="F7" s="119"/>
      <c r="G7" s="159"/>
    </row>
    <row r="8" spans="1:7" ht="16.5" thickTop="1" thickBot="1" x14ac:dyDescent="0.3">
      <c r="A8" s="2"/>
      <c r="B8" s="3"/>
      <c r="C8" s="3"/>
      <c r="D8" s="4" t="s">
        <v>4</v>
      </c>
      <c r="F8" s="183">
        <f>+RT!H9</f>
        <v>46022</v>
      </c>
      <c r="G8" s="184">
        <v>45291</v>
      </c>
    </row>
    <row r="9" spans="1:7" ht="15.75" thickTop="1" x14ac:dyDescent="0.25">
      <c r="A9" s="123"/>
      <c r="B9" s="124"/>
      <c r="C9" s="124"/>
      <c r="D9" s="5"/>
      <c r="F9" s="200"/>
      <c r="G9" s="201"/>
    </row>
    <row r="10" spans="1:7" x14ac:dyDescent="0.25">
      <c r="A10" s="125"/>
      <c r="B10" s="119" t="s">
        <v>86</v>
      </c>
      <c r="C10" s="119"/>
      <c r="D10" s="6"/>
      <c r="F10" s="202">
        <f>+RT!H13</f>
        <v>1837959</v>
      </c>
      <c r="G10" s="203">
        <v>1600954</v>
      </c>
    </row>
    <row r="11" spans="1:7" x14ac:dyDescent="0.25">
      <c r="A11" s="125"/>
      <c r="B11" s="119" t="s">
        <v>188</v>
      </c>
      <c r="C11" s="119"/>
      <c r="D11" s="6"/>
      <c r="F11" s="202"/>
      <c r="G11" s="203"/>
    </row>
    <row r="12" spans="1:7" ht="15.75" thickBot="1" x14ac:dyDescent="0.3">
      <c r="A12" s="125"/>
      <c r="B12" s="119"/>
      <c r="C12" s="119"/>
      <c r="D12" s="6"/>
      <c r="F12" s="202"/>
      <c r="G12" s="203"/>
    </row>
    <row r="13" spans="1:7" ht="16.5" thickTop="1" thickBot="1" x14ac:dyDescent="0.3">
      <c r="A13" s="7" t="s">
        <v>87</v>
      </c>
      <c r="B13" s="8"/>
      <c r="C13" s="8"/>
      <c r="D13" s="8"/>
      <c r="F13" s="204">
        <f>SUM(F10:F12)</f>
        <v>1837959</v>
      </c>
      <c r="G13" s="205">
        <f>+G10+G11</f>
        <v>1600954</v>
      </c>
    </row>
    <row r="14" spans="1:7" ht="15.75" thickTop="1" x14ac:dyDescent="0.25">
      <c r="A14" s="125"/>
      <c r="B14" s="119"/>
      <c r="C14" s="119"/>
      <c r="D14" s="5"/>
      <c r="F14" s="202"/>
      <c r="G14" s="203"/>
    </row>
    <row r="15" spans="1:7" x14ac:dyDescent="0.25">
      <c r="A15" s="125"/>
      <c r="B15" s="119" t="s">
        <v>88</v>
      </c>
      <c r="C15" s="119"/>
      <c r="D15" s="9"/>
      <c r="F15" s="202"/>
      <c r="G15" s="203"/>
    </row>
    <row r="16" spans="1:7" x14ac:dyDescent="0.25">
      <c r="A16" s="125"/>
      <c r="B16" s="119" t="s">
        <v>89</v>
      </c>
      <c r="C16" s="119"/>
      <c r="D16" s="6"/>
      <c r="F16" s="202"/>
      <c r="G16" s="203"/>
    </row>
    <row r="17" spans="1:10" x14ac:dyDescent="0.25">
      <c r="A17" s="125"/>
      <c r="B17" s="119" t="s">
        <v>46</v>
      </c>
      <c r="C17" s="119"/>
      <c r="D17" s="6"/>
      <c r="F17" s="202"/>
      <c r="G17" s="203"/>
    </row>
    <row r="18" spans="1:10" ht="15.75" thickBot="1" x14ac:dyDescent="0.3">
      <c r="A18" s="125"/>
      <c r="B18" s="119" t="str">
        <f>+RT!D16</f>
        <v>Transfert de charges</v>
      </c>
      <c r="C18" s="119"/>
      <c r="D18" s="6"/>
      <c r="F18" s="202"/>
      <c r="G18" s="203"/>
    </row>
    <row r="19" spans="1:10" ht="16.5" thickTop="1" thickBot="1" x14ac:dyDescent="0.3">
      <c r="A19" s="7" t="s">
        <v>90</v>
      </c>
      <c r="B19" s="8"/>
      <c r="C19" s="8"/>
      <c r="D19" s="8"/>
      <c r="F19" s="204"/>
      <c r="G19" s="205"/>
    </row>
    <row r="20" spans="1:10" ht="15.75" thickTop="1" x14ac:dyDescent="0.25">
      <c r="A20" s="125"/>
      <c r="B20" s="119"/>
      <c r="C20" s="119"/>
      <c r="D20" s="5"/>
      <c r="F20" s="202"/>
      <c r="G20" s="203"/>
    </row>
    <row r="21" spans="1:10" x14ac:dyDescent="0.25">
      <c r="A21" s="125"/>
      <c r="B21" s="119" t="s">
        <v>310</v>
      </c>
      <c r="C21" s="119"/>
      <c r="D21" s="9"/>
      <c r="F21" s="202">
        <f>-RT!H21</f>
        <v>-1289616</v>
      </c>
      <c r="G21" s="203">
        <f>-RT!I21</f>
        <v>-1162054</v>
      </c>
      <c r="H21" s="160"/>
    </row>
    <row r="22" spans="1:10" x14ac:dyDescent="0.25">
      <c r="A22" s="125"/>
      <c r="B22" s="119"/>
      <c r="C22" s="119"/>
      <c r="D22" s="9"/>
      <c r="E22"/>
      <c r="F22" s="202"/>
      <c r="G22" s="203"/>
      <c r="H22" s="160"/>
      <c r="J22" s="160"/>
    </row>
    <row r="23" spans="1:10" ht="15.75" thickBot="1" x14ac:dyDescent="0.3">
      <c r="A23" s="125"/>
      <c r="B23" s="119"/>
      <c r="C23" s="119"/>
      <c r="D23" s="6"/>
      <c r="F23" s="202"/>
      <c r="G23" s="203"/>
    </row>
    <row r="24" spans="1:10" ht="16.5" thickTop="1" thickBot="1" x14ac:dyDescent="0.3">
      <c r="A24" s="7" t="s">
        <v>87</v>
      </c>
      <c r="B24" s="8"/>
      <c r="C24" s="8"/>
      <c r="D24" s="8"/>
      <c r="F24" s="204">
        <f>+F13+F22+F21</f>
        <v>548343</v>
      </c>
      <c r="G24" s="205">
        <f>+G22+G21+G13</f>
        <v>438900</v>
      </c>
    </row>
    <row r="25" spans="1:10" ht="16.5" thickTop="1" thickBot="1" x14ac:dyDescent="0.3">
      <c r="A25" s="125"/>
      <c r="B25" s="119"/>
      <c r="C25" s="119"/>
      <c r="D25" s="6"/>
      <c r="F25" s="202"/>
      <c r="G25" s="203"/>
    </row>
    <row r="26" spans="1:10" ht="16.5" thickTop="1" thickBot="1" x14ac:dyDescent="0.3">
      <c r="A26" s="7" t="s">
        <v>91</v>
      </c>
      <c r="B26" s="8"/>
      <c r="C26" s="8"/>
      <c r="D26" s="8"/>
      <c r="F26" s="204">
        <f>+F24</f>
        <v>548343</v>
      </c>
      <c r="G26" s="205">
        <f>+G24</f>
        <v>438900</v>
      </c>
    </row>
    <row r="27" spans="1:10" ht="15.75" thickTop="1" x14ac:dyDescent="0.25">
      <c r="A27" s="125"/>
      <c r="B27" s="127"/>
      <c r="C27" s="119"/>
      <c r="D27" s="5"/>
      <c r="F27" s="206"/>
      <c r="G27" s="207"/>
    </row>
    <row r="28" spans="1:10" x14ac:dyDescent="0.25">
      <c r="A28" s="125"/>
      <c r="B28" s="119" t="s">
        <v>92</v>
      </c>
      <c r="C28" s="119"/>
      <c r="D28" s="6"/>
      <c r="F28" s="202">
        <f>+F24</f>
        <v>548343</v>
      </c>
      <c r="G28" s="203">
        <v>438900</v>
      </c>
    </row>
    <row r="29" spans="1:10" x14ac:dyDescent="0.25">
      <c r="A29" s="125"/>
      <c r="B29" s="119" t="s">
        <v>93</v>
      </c>
      <c r="C29" s="119"/>
      <c r="D29" s="6"/>
      <c r="F29" s="202"/>
      <c r="G29" s="203"/>
    </row>
    <row r="30" spans="1:10" x14ac:dyDescent="0.25">
      <c r="A30" s="125"/>
      <c r="B30" s="119" t="s">
        <v>94</v>
      </c>
      <c r="C30" s="119"/>
      <c r="D30" s="6"/>
      <c r="F30" s="202">
        <f>-292765+25838</f>
        <v>-266927</v>
      </c>
      <c r="G30" s="203">
        <v>-245978</v>
      </c>
    </row>
    <row r="31" spans="1:10" ht="15.75" thickBot="1" x14ac:dyDescent="0.3">
      <c r="A31" s="125"/>
      <c r="B31" s="119"/>
      <c r="C31" s="119"/>
      <c r="D31" s="6"/>
      <c r="F31" s="202"/>
      <c r="G31" s="203"/>
    </row>
    <row r="32" spans="1:10" ht="16.5" thickTop="1" thickBot="1" x14ac:dyDescent="0.3">
      <c r="A32" s="7" t="s">
        <v>95</v>
      </c>
      <c r="B32" s="8"/>
      <c r="C32" s="8"/>
      <c r="D32" s="8"/>
      <c r="F32" s="204">
        <f>+F26+F30</f>
        <v>281416</v>
      </c>
      <c r="G32" s="205">
        <f>+G30+G26</f>
        <v>192922</v>
      </c>
    </row>
    <row r="33" spans="1:7" ht="15.75" thickTop="1" x14ac:dyDescent="0.25">
      <c r="A33" s="123"/>
      <c r="B33" s="124"/>
      <c r="C33" s="124"/>
      <c r="D33" s="6"/>
      <c r="F33" s="208"/>
      <c r="G33" s="209"/>
    </row>
    <row r="34" spans="1:7" x14ac:dyDescent="0.25">
      <c r="A34" s="125"/>
      <c r="B34" s="119" t="s">
        <v>96</v>
      </c>
      <c r="C34" s="119"/>
      <c r="D34" s="6"/>
      <c r="F34" s="202">
        <v>-5770</v>
      </c>
      <c r="G34" s="203">
        <v>-5929</v>
      </c>
    </row>
    <row r="35" spans="1:7" x14ac:dyDescent="0.25">
      <c r="A35" s="125"/>
      <c r="B35" s="119" t="s">
        <v>49</v>
      </c>
      <c r="C35" s="119"/>
      <c r="D35" s="9"/>
      <c r="F35" s="202">
        <f>-RT!H22</f>
        <v>-71935</v>
      </c>
      <c r="G35" s="203">
        <v>-70609</v>
      </c>
    </row>
    <row r="36" spans="1:7" ht="15.75" thickBot="1" x14ac:dyDescent="0.3">
      <c r="A36" s="125"/>
      <c r="B36" s="119"/>
      <c r="C36" s="119"/>
      <c r="D36" s="6"/>
      <c r="F36" s="202"/>
      <c r="G36" s="203"/>
    </row>
    <row r="37" spans="1:7" ht="16.5" thickTop="1" thickBot="1" x14ac:dyDescent="0.3">
      <c r="A37" s="7" t="s">
        <v>97</v>
      </c>
      <c r="B37" s="8"/>
      <c r="C37" s="8"/>
      <c r="D37" s="8"/>
      <c r="F37" s="204">
        <f>SUM(F32:F36)</f>
        <v>203711</v>
      </c>
      <c r="G37" s="205">
        <f>SUM(G32:G35)</f>
        <v>116384</v>
      </c>
    </row>
    <row r="38" spans="1:7" ht="15.75" thickTop="1" x14ac:dyDescent="0.25">
      <c r="A38" s="125"/>
      <c r="B38" s="119"/>
      <c r="C38" s="119"/>
      <c r="D38" s="6"/>
      <c r="F38" s="202"/>
      <c r="G38" s="203"/>
    </row>
    <row r="39" spans="1:7" x14ac:dyDescent="0.25">
      <c r="A39" s="125"/>
      <c r="B39" s="119" t="s">
        <v>54</v>
      </c>
      <c r="C39" s="119"/>
      <c r="D39" s="6"/>
      <c r="F39" s="202">
        <f>+RT!H30</f>
        <v>-13053</v>
      </c>
      <c r="G39" s="203">
        <v>-21476</v>
      </c>
    </row>
    <row r="40" spans="1:7" x14ac:dyDescent="0.25">
      <c r="A40" s="125"/>
      <c r="B40" s="119" t="s">
        <v>55</v>
      </c>
      <c r="C40" s="119"/>
      <c r="D40" s="6"/>
      <c r="F40" s="202"/>
      <c r="G40" s="203"/>
    </row>
    <row r="41" spans="1:7" x14ac:dyDescent="0.25">
      <c r="A41" s="125"/>
      <c r="B41" s="119" t="s">
        <v>56</v>
      </c>
      <c r="C41" s="119"/>
      <c r="D41" s="6"/>
      <c r="F41" s="202"/>
      <c r="G41" s="203"/>
    </row>
    <row r="42" spans="1:7" x14ac:dyDescent="0.25">
      <c r="A42" s="125"/>
      <c r="B42" s="119" t="s">
        <v>1</v>
      </c>
      <c r="C42" s="119"/>
      <c r="D42" s="6"/>
      <c r="F42" s="202"/>
      <c r="G42" s="203"/>
    </row>
    <row r="43" spans="1:7" x14ac:dyDescent="0.25">
      <c r="A43" s="125"/>
      <c r="B43" s="119" t="s">
        <v>98</v>
      </c>
      <c r="C43" s="119"/>
      <c r="D43" s="6"/>
      <c r="F43" s="202"/>
      <c r="G43" s="203"/>
    </row>
    <row r="44" spans="1:7" x14ac:dyDescent="0.25">
      <c r="A44" s="125"/>
      <c r="B44" s="119" t="s">
        <v>99</v>
      </c>
      <c r="C44" s="119"/>
      <c r="D44" s="6"/>
      <c r="F44" s="202">
        <f>-RT!H23</f>
        <v>-66450</v>
      </c>
      <c r="G44" s="203">
        <v>-65973</v>
      </c>
    </row>
    <row r="45" spans="1:7" x14ac:dyDescent="0.25">
      <c r="A45" s="125"/>
      <c r="B45" s="119" t="s">
        <v>100</v>
      </c>
      <c r="C45" s="119"/>
      <c r="D45" s="6"/>
      <c r="F45" s="202">
        <v>-25838</v>
      </c>
      <c r="G45" s="203">
        <v>-6126</v>
      </c>
    </row>
    <row r="46" spans="1:7" ht="15.75" thickBot="1" x14ac:dyDescent="0.3">
      <c r="A46" s="125"/>
      <c r="B46" s="119"/>
      <c r="C46" s="126"/>
      <c r="D46" s="6"/>
      <c r="F46" s="202"/>
      <c r="G46" s="203"/>
    </row>
    <row r="47" spans="1:7" ht="16.5" thickTop="1" thickBot="1" x14ac:dyDescent="0.3">
      <c r="A47" s="7" t="s">
        <v>101</v>
      </c>
      <c r="B47" s="8"/>
      <c r="C47" s="8"/>
      <c r="D47" s="8"/>
      <c r="F47" s="204">
        <f>SUM(F37:F46)</f>
        <v>98370</v>
      </c>
      <c r="G47" s="205">
        <f>SUM(G37:G45)</f>
        <v>22809</v>
      </c>
    </row>
    <row r="48" spans="1:7" ht="16.5" thickTop="1" x14ac:dyDescent="0.3">
      <c r="A48" s="128"/>
      <c r="B48" s="129"/>
      <c r="C48" s="129"/>
      <c r="D48" s="6"/>
      <c r="F48" s="210"/>
      <c r="G48" s="211"/>
    </row>
    <row r="49" spans="1:9" x14ac:dyDescent="0.25">
      <c r="A49" s="125"/>
      <c r="B49" s="119" t="s">
        <v>102</v>
      </c>
      <c r="C49" s="119"/>
      <c r="D49" s="6"/>
      <c r="F49" s="202"/>
      <c r="G49" s="203"/>
    </row>
    <row r="50" spans="1:9" ht="15.75" x14ac:dyDescent="0.3">
      <c r="A50" s="128"/>
      <c r="B50" s="119" t="s">
        <v>103</v>
      </c>
      <c r="C50" s="129"/>
      <c r="D50" s="6"/>
      <c r="F50" s="202"/>
      <c r="G50" s="203"/>
    </row>
    <row r="51" spans="1:9" ht="15.75" thickBot="1" x14ac:dyDescent="0.3">
      <c r="A51" s="125"/>
      <c r="B51" s="119"/>
      <c r="C51" s="119"/>
      <c r="D51" s="6"/>
      <c r="F51" s="202"/>
      <c r="G51" s="203"/>
    </row>
    <row r="52" spans="1:9" ht="16.5" thickTop="1" thickBot="1" x14ac:dyDescent="0.3">
      <c r="A52" s="10" t="s">
        <v>104</v>
      </c>
      <c r="B52" s="11"/>
      <c r="C52" s="11"/>
      <c r="D52" s="11"/>
      <c r="F52" s="212">
        <f>+F47</f>
        <v>98370</v>
      </c>
      <c r="G52" s="213">
        <f>+G47</f>
        <v>22809</v>
      </c>
    </row>
    <row r="53" spans="1:9" ht="15.75" thickTop="1" x14ac:dyDescent="0.25">
      <c r="C53" s="12"/>
      <c r="F53" s="279"/>
      <c r="G53" s="160"/>
    </row>
    <row r="54" spans="1:9" x14ac:dyDescent="0.25">
      <c r="G54" s="160"/>
    </row>
    <row r="55" spans="1:9" x14ac:dyDescent="0.25">
      <c r="F55" s="279"/>
      <c r="G55" s="160"/>
    </row>
    <row r="56" spans="1:9" x14ac:dyDescent="0.25">
      <c r="C56" s="13"/>
      <c r="D56" s="13"/>
      <c r="E56" s="13"/>
      <c r="F56" s="13"/>
      <c r="I56" s="160"/>
    </row>
    <row r="57" spans="1:9" x14ac:dyDescent="0.25">
      <c r="C57" s="13"/>
      <c r="D57" s="13"/>
      <c r="E57" s="13"/>
      <c r="F57" s="13"/>
    </row>
  </sheetData>
  <mergeCells count="3">
    <mergeCell ref="A4:G4"/>
    <mergeCell ref="A6:G6"/>
    <mergeCell ref="A2:G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orientation="portrait" r:id="rId1"/>
  <ignoredErrors>
    <ignoredError sqref="G52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B101"/>
  <sheetViews>
    <sheetView showGridLines="0" zoomScaleNormal="100" workbookViewId="0">
      <selection sqref="A1:F40"/>
    </sheetView>
  </sheetViews>
  <sheetFormatPr baseColWidth="10" defaultColWidth="0.85546875" defaultRowHeight="0" customHeight="1" zeroHeight="1" x14ac:dyDescent="0.3"/>
  <cols>
    <col min="1" max="2" width="1.7109375" style="80" customWidth="1"/>
    <col min="3" max="3" width="53.140625" style="80" customWidth="1"/>
    <col min="4" max="4" width="0.85546875" style="80" customWidth="1"/>
    <col min="5" max="5" width="0.85546875" style="108" customWidth="1"/>
    <col min="6" max="6" width="21.140625" style="108" customWidth="1"/>
    <col min="7" max="255" width="0" style="80" hidden="1" customWidth="1"/>
    <col min="256" max="256" width="0.85546875" style="80" customWidth="1"/>
    <col min="257" max="257" width="1.7109375" style="80" customWidth="1"/>
    <col min="258" max="258" width="0.5703125" style="80" customWidth="1"/>
    <col min="259" max="259" width="53.140625" style="80" hidden="1" customWidth="1"/>
    <col min="260" max="261" width="0.85546875" style="80" hidden="1" customWidth="1"/>
    <col min="262" max="262" width="16.5703125" style="80" hidden="1" customWidth="1"/>
    <col min="263" max="511" width="0" style="80" hidden="1" customWidth="1"/>
    <col min="512" max="512" width="0.85546875" style="80"/>
    <col min="513" max="514" width="1.7109375" style="80" customWidth="1"/>
    <col min="515" max="515" width="53.140625" style="80" customWidth="1"/>
    <col min="516" max="517" width="0.85546875" style="80" customWidth="1"/>
    <col min="518" max="518" width="16.5703125" style="80" customWidth="1"/>
    <col min="519" max="767" width="0" style="80" hidden="1" customWidth="1"/>
    <col min="768" max="768" width="0.85546875" style="80"/>
    <col min="769" max="770" width="1.7109375" style="80" customWidth="1"/>
    <col min="771" max="771" width="53.140625" style="80" customWidth="1"/>
    <col min="772" max="773" width="0.85546875" style="80" customWidth="1"/>
    <col min="774" max="774" width="16.5703125" style="80" customWidth="1"/>
    <col min="775" max="1023" width="0" style="80" hidden="1" customWidth="1"/>
    <col min="1024" max="1024" width="0.85546875" style="80"/>
    <col min="1025" max="1026" width="1.7109375" style="80" customWidth="1"/>
    <col min="1027" max="1027" width="53.140625" style="80" customWidth="1"/>
    <col min="1028" max="1029" width="0.85546875" style="80" customWidth="1"/>
    <col min="1030" max="1030" width="16.5703125" style="80" customWidth="1"/>
    <col min="1031" max="1279" width="0" style="80" hidden="1" customWidth="1"/>
    <col min="1280" max="1280" width="0.85546875" style="80"/>
    <col min="1281" max="1282" width="1.7109375" style="80" customWidth="1"/>
    <col min="1283" max="1283" width="53.140625" style="80" customWidth="1"/>
    <col min="1284" max="1285" width="0.85546875" style="80" customWidth="1"/>
    <col min="1286" max="1286" width="16.5703125" style="80" customWidth="1"/>
    <col min="1287" max="1535" width="0" style="80" hidden="1" customWidth="1"/>
    <col min="1536" max="1536" width="0.85546875" style="80"/>
    <col min="1537" max="1538" width="1.7109375" style="80" customWidth="1"/>
    <col min="1539" max="1539" width="53.140625" style="80" customWidth="1"/>
    <col min="1540" max="1541" width="0.85546875" style="80" customWidth="1"/>
    <col min="1542" max="1542" width="16.5703125" style="80" customWidth="1"/>
    <col min="1543" max="1791" width="0" style="80" hidden="1" customWidth="1"/>
    <col min="1792" max="1792" width="0.85546875" style="80"/>
    <col min="1793" max="1794" width="1.7109375" style="80" customWidth="1"/>
    <col min="1795" max="1795" width="53.140625" style="80" customWidth="1"/>
    <col min="1796" max="1797" width="0.85546875" style="80" customWidth="1"/>
    <col min="1798" max="1798" width="16.5703125" style="80" customWidth="1"/>
    <col min="1799" max="2047" width="0" style="80" hidden="1" customWidth="1"/>
    <col min="2048" max="2048" width="0.85546875" style="80"/>
    <col min="2049" max="2050" width="1.7109375" style="80" customWidth="1"/>
    <col min="2051" max="2051" width="53.140625" style="80" customWidth="1"/>
    <col min="2052" max="2053" width="0.85546875" style="80" customWidth="1"/>
    <col min="2054" max="2054" width="16.5703125" style="80" customWidth="1"/>
    <col min="2055" max="2303" width="0" style="80" hidden="1" customWidth="1"/>
    <col min="2304" max="2304" width="0.85546875" style="80"/>
    <col min="2305" max="2306" width="1.7109375" style="80" customWidth="1"/>
    <col min="2307" max="2307" width="53.140625" style="80" customWidth="1"/>
    <col min="2308" max="2309" width="0.85546875" style="80" customWidth="1"/>
    <col min="2310" max="2310" width="16.5703125" style="80" customWidth="1"/>
    <col min="2311" max="2559" width="0" style="80" hidden="1" customWidth="1"/>
    <col min="2560" max="2560" width="0.85546875" style="80"/>
    <col min="2561" max="2562" width="1.7109375" style="80" customWidth="1"/>
    <col min="2563" max="2563" width="53.140625" style="80" customWidth="1"/>
    <col min="2564" max="2565" width="0.85546875" style="80" customWidth="1"/>
    <col min="2566" max="2566" width="16.5703125" style="80" customWidth="1"/>
    <col min="2567" max="2815" width="0" style="80" hidden="1" customWidth="1"/>
    <col min="2816" max="2816" width="0.85546875" style="80"/>
    <col min="2817" max="2818" width="1.7109375" style="80" customWidth="1"/>
    <col min="2819" max="2819" width="53.140625" style="80" customWidth="1"/>
    <col min="2820" max="2821" width="0.85546875" style="80" customWidth="1"/>
    <col min="2822" max="2822" width="16.5703125" style="80" customWidth="1"/>
    <col min="2823" max="3071" width="0" style="80" hidden="1" customWidth="1"/>
    <col min="3072" max="3072" width="0.85546875" style="80"/>
    <col min="3073" max="3074" width="1.7109375" style="80" customWidth="1"/>
    <col min="3075" max="3075" width="53.140625" style="80" customWidth="1"/>
    <col min="3076" max="3077" width="0.85546875" style="80" customWidth="1"/>
    <col min="3078" max="3078" width="16.5703125" style="80" customWidth="1"/>
    <col min="3079" max="3327" width="0" style="80" hidden="1" customWidth="1"/>
    <col min="3328" max="3328" width="0.85546875" style="80"/>
    <col min="3329" max="3330" width="1.7109375" style="80" customWidth="1"/>
    <col min="3331" max="3331" width="53.140625" style="80" customWidth="1"/>
    <col min="3332" max="3333" width="0.85546875" style="80" customWidth="1"/>
    <col min="3334" max="3334" width="16.5703125" style="80" customWidth="1"/>
    <col min="3335" max="3583" width="0" style="80" hidden="1" customWidth="1"/>
    <col min="3584" max="3584" width="0.85546875" style="80"/>
    <col min="3585" max="3586" width="1.7109375" style="80" customWidth="1"/>
    <col min="3587" max="3587" width="53.140625" style="80" customWidth="1"/>
    <col min="3588" max="3589" width="0.85546875" style="80" customWidth="1"/>
    <col min="3590" max="3590" width="16.5703125" style="80" customWidth="1"/>
    <col min="3591" max="3839" width="0" style="80" hidden="1" customWidth="1"/>
    <col min="3840" max="3840" width="0.85546875" style="80"/>
    <col min="3841" max="3842" width="1.7109375" style="80" customWidth="1"/>
    <col min="3843" max="3843" width="53.140625" style="80" customWidth="1"/>
    <col min="3844" max="3845" width="0.85546875" style="80" customWidth="1"/>
    <col min="3846" max="3846" width="16.5703125" style="80" customWidth="1"/>
    <col min="3847" max="4095" width="0" style="80" hidden="1" customWidth="1"/>
    <col min="4096" max="4096" width="0.85546875" style="80"/>
    <col min="4097" max="4098" width="1.7109375" style="80" customWidth="1"/>
    <col min="4099" max="4099" width="53.140625" style="80" customWidth="1"/>
    <col min="4100" max="4101" width="0.85546875" style="80" customWidth="1"/>
    <col min="4102" max="4102" width="16.5703125" style="80" customWidth="1"/>
    <col min="4103" max="4351" width="0" style="80" hidden="1" customWidth="1"/>
    <col min="4352" max="4352" width="0.85546875" style="80"/>
    <col min="4353" max="4354" width="1.7109375" style="80" customWidth="1"/>
    <col min="4355" max="4355" width="53.140625" style="80" customWidth="1"/>
    <col min="4356" max="4357" width="0.85546875" style="80" customWidth="1"/>
    <col min="4358" max="4358" width="16.5703125" style="80" customWidth="1"/>
    <col min="4359" max="4607" width="0" style="80" hidden="1" customWidth="1"/>
    <col min="4608" max="4608" width="0.85546875" style="80"/>
    <col min="4609" max="4610" width="1.7109375" style="80" customWidth="1"/>
    <col min="4611" max="4611" width="53.140625" style="80" customWidth="1"/>
    <col min="4612" max="4613" width="0.85546875" style="80" customWidth="1"/>
    <col min="4614" max="4614" width="16.5703125" style="80" customWidth="1"/>
    <col min="4615" max="4863" width="0" style="80" hidden="1" customWidth="1"/>
    <col min="4864" max="4864" width="0.85546875" style="80"/>
    <col min="4865" max="4866" width="1.7109375" style="80" customWidth="1"/>
    <col min="4867" max="4867" width="53.140625" style="80" customWidth="1"/>
    <col min="4868" max="4869" width="0.85546875" style="80" customWidth="1"/>
    <col min="4870" max="4870" width="16.5703125" style="80" customWidth="1"/>
    <col min="4871" max="5119" width="0" style="80" hidden="1" customWidth="1"/>
    <col min="5120" max="5120" width="0.85546875" style="80"/>
    <col min="5121" max="5122" width="1.7109375" style="80" customWidth="1"/>
    <col min="5123" max="5123" width="53.140625" style="80" customWidth="1"/>
    <col min="5124" max="5125" width="0.85546875" style="80" customWidth="1"/>
    <col min="5126" max="5126" width="16.5703125" style="80" customWidth="1"/>
    <col min="5127" max="5375" width="0" style="80" hidden="1" customWidth="1"/>
    <col min="5376" max="5376" width="0.85546875" style="80"/>
    <col min="5377" max="5378" width="1.7109375" style="80" customWidth="1"/>
    <col min="5379" max="5379" width="53.140625" style="80" customWidth="1"/>
    <col min="5380" max="5381" width="0.85546875" style="80" customWidth="1"/>
    <col min="5382" max="5382" width="16.5703125" style="80" customWidth="1"/>
    <col min="5383" max="5631" width="0" style="80" hidden="1" customWidth="1"/>
    <col min="5632" max="5632" width="0.85546875" style="80"/>
    <col min="5633" max="5634" width="1.7109375" style="80" customWidth="1"/>
    <col min="5635" max="5635" width="53.140625" style="80" customWidth="1"/>
    <col min="5636" max="5637" width="0.85546875" style="80" customWidth="1"/>
    <col min="5638" max="5638" width="16.5703125" style="80" customWidth="1"/>
    <col min="5639" max="5887" width="0" style="80" hidden="1" customWidth="1"/>
    <col min="5888" max="5888" width="0.85546875" style="80"/>
    <col min="5889" max="5890" width="1.7109375" style="80" customWidth="1"/>
    <col min="5891" max="5891" width="53.140625" style="80" customWidth="1"/>
    <col min="5892" max="5893" width="0.85546875" style="80" customWidth="1"/>
    <col min="5894" max="5894" width="16.5703125" style="80" customWidth="1"/>
    <col min="5895" max="6143" width="0" style="80" hidden="1" customWidth="1"/>
    <col min="6144" max="6144" width="0.85546875" style="80"/>
    <col min="6145" max="6146" width="1.7109375" style="80" customWidth="1"/>
    <col min="6147" max="6147" width="53.140625" style="80" customWidth="1"/>
    <col min="6148" max="6149" width="0.85546875" style="80" customWidth="1"/>
    <col min="6150" max="6150" width="16.5703125" style="80" customWidth="1"/>
    <col min="6151" max="6399" width="0" style="80" hidden="1" customWidth="1"/>
    <col min="6400" max="6400" width="0.85546875" style="80"/>
    <col min="6401" max="6402" width="1.7109375" style="80" customWidth="1"/>
    <col min="6403" max="6403" width="53.140625" style="80" customWidth="1"/>
    <col min="6404" max="6405" width="0.85546875" style="80" customWidth="1"/>
    <col min="6406" max="6406" width="16.5703125" style="80" customWidth="1"/>
    <col min="6407" max="6655" width="0" style="80" hidden="1" customWidth="1"/>
    <col min="6656" max="6656" width="0.85546875" style="80"/>
    <col min="6657" max="6658" width="1.7109375" style="80" customWidth="1"/>
    <col min="6659" max="6659" width="53.140625" style="80" customWidth="1"/>
    <col min="6660" max="6661" width="0.85546875" style="80" customWidth="1"/>
    <col min="6662" max="6662" width="16.5703125" style="80" customWidth="1"/>
    <col min="6663" max="6911" width="0" style="80" hidden="1" customWidth="1"/>
    <col min="6912" max="6912" width="0.85546875" style="80"/>
    <col min="6913" max="6914" width="1.7109375" style="80" customWidth="1"/>
    <col min="6915" max="6915" width="53.140625" style="80" customWidth="1"/>
    <col min="6916" max="6917" width="0.85546875" style="80" customWidth="1"/>
    <col min="6918" max="6918" width="16.5703125" style="80" customWidth="1"/>
    <col min="6919" max="7167" width="0" style="80" hidden="1" customWidth="1"/>
    <col min="7168" max="7168" width="0.85546875" style="80"/>
    <col min="7169" max="7170" width="1.7109375" style="80" customWidth="1"/>
    <col min="7171" max="7171" width="53.140625" style="80" customWidth="1"/>
    <col min="7172" max="7173" width="0.85546875" style="80" customWidth="1"/>
    <col min="7174" max="7174" width="16.5703125" style="80" customWidth="1"/>
    <col min="7175" max="7423" width="0" style="80" hidden="1" customWidth="1"/>
    <col min="7424" max="7424" width="0.85546875" style="80"/>
    <col min="7425" max="7426" width="1.7109375" style="80" customWidth="1"/>
    <col min="7427" max="7427" width="53.140625" style="80" customWidth="1"/>
    <col min="7428" max="7429" width="0.85546875" style="80" customWidth="1"/>
    <col min="7430" max="7430" width="16.5703125" style="80" customWidth="1"/>
    <col min="7431" max="7679" width="0" style="80" hidden="1" customWidth="1"/>
    <col min="7680" max="7680" width="0.85546875" style="80"/>
    <col min="7681" max="7682" width="1.7109375" style="80" customWidth="1"/>
    <col min="7683" max="7683" width="53.140625" style="80" customWidth="1"/>
    <col min="7684" max="7685" width="0.85546875" style="80" customWidth="1"/>
    <col min="7686" max="7686" width="16.5703125" style="80" customWidth="1"/>
    <col min="7687" max="7935" width="0" style="80" hidden="1" customWidth="1"/>
    <col min="7936" max="7936" width="0.85546875" style="80"/>
    <col min="7937" max="7938" width="1.7109375" style="80" customWidth="1"/>
    <col min="7939" max="7939" width="53.140625" style="80" customWidth="1"/>
    <col min="7940" max="7941" width="0.85546875" style="80" customWidth="1"/>
    <col min="7942" max="7942" width="16.5703125" style="80" customWidth="1"/>
    <col min="7943" max="8191" width="0" style="80" hidden="1" customWidth="1"/>
    <col min="8192" max="8192" width="0.85546875" style="80"/>
    <col min="8193" max="8194" width="1.7109375" style="80" customWidth="1"/>
    <col min="8195" max="8195" width="53.140625" style="80" customWidth="1"/>
    <col min="8196" max="8197" width="0.85546875" style="80" customWidth="1"/>
    <col min="8198" max="8198" width="16.5703125" style="80" customWidth="1"/>
    <col min="8199" max="8447" width="0" style="80" hidden="1" customWidth="1"/>
    <col min="8448" max="8448" width="0.85546875" style="80"/>
    <col min="8449" max="8450" width="1.7109375" style="80" customWidth="1"/>
    <col min="8451" max="8451" width="53.140625" style="80" customWidth="1"/>
    <col min="8452" max="8453" width="0.85546875" style="80" customWidth="1"/>
    <col min="8454" max="8454" width="16.5703125" style="80" customWidth="1"/>
    <col min="8455" max="8703" width="0" style="80" hidden="1" customWidth="1"/>
    <col min="8704" max="8704" width="0.85546875" style="80"/>
    <col min="8705" max="8706" width="1.7109375" style="80" customWidth="1"/>
    <col min="8707" max="8707" width="53.140625" style="80" customWidth="1"/>
    <col min="8708" max="8709" width="0.85546875" style="80" customWidth="1"/>
    <col min="8710" max="8710" width="16.5703125" style="80" customWidth="1"/>
    <col min="8711" max="8959" width="0" style="80" hidden="1" customWidth="1"/>
    <col min="8960" max="8960" width="0.85546875" style="80"/>
    <col min="8961" max="8962" width="1.7109375" style="80" customWidth="1"/>
    <col min="8963" max="8963" width="53.140625" style="80" customWidth="1"/>
    <col min="8964" max="8965" width="0.85546875" style="80" customWidth="1"/>
    <col min="8966" max="8966" width="16.5703125" style="80" customWidth="1"/>
    <col min="8967" max="9215" width="0" style="80" hidden="1" customWidth="1"/>
    <col min="9216" max="9216" width="0.85546875" style="80"/>
    <col min="9217" max="9218" width="1.7109375" style="80" customWidth="1"/>
    <col min="9219" max="9219" width="53.140625" style="80" customWidth="1"/>
    <col min="9220" max="9221" width="0.85546875" style="80" customWidth="1"/>
    <col min="9222" max="9222" width="16.5703125" style="80" customWidth="1"/>
    <col min="9223" max="9471" width="0" style="80" hidden="1" customWidth="1"/>
    <col min="9472" max="9472" width="0.85546875" style="80"/>
    <col min="9473" max="9474" width="1.7109375" style="80" customWidth="1"/>
    <col min="9475" max="9475" width="53.140625" style="80" customWidth="1"/>
    <col min="9476" max="9477" width="0.85546875" style="80" customWidth="1"/>
    <col min="9478" max="9478" width="16.5703125" style="80" customWidth="1"/>
    <col min="9479" max="9727" width="0" style="80" hidden="1" customWidth="1"/>
    <col min="9728" max="9728" width="0.85546875" style="80"/>
    <col min="9729" max="9730" width="1.7109375" style="80" customWidth="1"/>
    <col min="9731" max="9731" width="53.140625" style="80" customWidth="1"/>
    <col min="9732" max="9733" width="0.85546875" style="80" customWidth="1"/>
    <col min="9734" max="9734" width="16.5703125" style="80" customWidth="1"/>
    <col min="9735" max="9983" width="0" style="80" hidden="1" customWidth="1"/>
    <col min="9984" max="9984" width="0.85546875" style="80"/>
    <col min="9985" max="9986" width="1.7109375" style="80" customWidth="1"/>
    <col min="9987" max="9987" width="53.140625" style="80" customWidth="1"/>
    <col min="9988" max="9989" width="0.85546875" style="80" customWidth="1"/>
    <col min="9990" max="9990" width="16.5703125" style="80" customWidth="1"/>
    <col min="9991" max="10239" width="0" style="80" hidden="1" customWidth="1"/>
    <col min="10240" max="10240" width="0.85546875" style="80"/>
    <col min="10241" max="10242" width="1.7109375" style="80" customWidth="1"/>
    <col min="10243" max="10243" width="53.140625" style="80" customWidth="1"/>
    <col min="10244" max="10245" width="0.85546875" style="80" customWidth="1"/>
    <col min="10246" max="10246" width="16.5703125" style="80" customWidth="1"/>
    <col min="10247" max="10495" width="0" style="80" hidden="1" customWidth="1"/>
    <col min="10496" max="10496" width="0.85546875" style="80"/>
    <col min="10497" max="10498" width="1.7109375" style="80" customWidth="1"/>
    <col min="10499" max="10499" width="53.140625" style="80" customWidth="1"/>
    <col min="10500" max="10501" width="0.85546875" style="80" customWidth="1"/>
    <col min="10502" max="10502" width="16.5703125" style="80" customWidth="1"/>
    <col min="10503" max="10751" width="0" style="80" hidden="1" customWidth="1"/>
    <col min="10752" max="10752" width="0.85546875" style="80"/>
    <col min="10753" max="10754" width="1.7109375" style="80" customWidth="1"/>
    <col min="10755" max="10755" width="53.140625" style="80" customWidth="1"/>
    <col min="10756" max="10757" width="0.85546875" style="80" customWidth="1"/>
    <col min="10758" max="10758" width="16.5703125" style="80" customWidth="1"/>
    <col min="10759" max="11007" width="0" style="80" hidden="1" customWidth="1"/>
    <col min="11008" max="11008" width="0.85546875" style="80"/>
    <col min="11009" max="11010" width="1.7109375" style="80" customWidth="1"/>
    <col min="11011" max="11011" width="53.140625" style="80" customWidth="1"/>
    <col min="11012" max="11013" width="0.85546875" style="80" customWidth="1"/>
    <col min="11014" max="11014" width="16.5703125" style="80" customWidth="1"/>
    <col min="11015" max="11263" width="0" style="80" hidden="1" customWidth="1"/>
    <col min="11264" max="11264" width="0.85546875" style="80"/>
    <col min="11265" max="11266" width="1.7109375" style="80" customWidth="1"/>
    <col min="11267" max="11267" width="53.140625" style="80" customWidth="1"/>
    <col min="11268" max="11269" width="0.85546875" style="80" customWidth="1"/>
    <col min="11270" max="11270" width="16.5703125" style="80" customWidth="1"/>
    <col min="11271" max="11519" width="0" style="80" hidden="1" customWidth="1"/>
    <col min="11520" max="11520" width="0.85546875" style="80"/>
    <col min="11521" max="11522" width="1.7109375" style="80" customWidth="1"/>
    <col min="11523" max="11523" width="53.140625" style="80" customWidth="1"/>
    <col min="11524" max="11525" width="0.85546875" style="80" customWidth="1"/>
    <col min="11526" max="11526" width="16.5703125" style="80" customWidth="1"/>
    <col min="11527" max="11775" width="0" style="80" hidden="1" customWidth="1"/>
    <col min="11776" max="11776" width="0.85546875" style="80"/>
    <col min="11777" max="11778" width="1.7109375" style="80" customWidth="1"/>
    <col min="11779" max="11779" width="53.140625" style="80" customWidth="1"/>
    <col min="11780" max="11781" width="0.85546875" style="80" customWidth="1"/>
    <col min="11782" max="11782" width="16.5703125" style="80" customWidth="1"/>
    <col min="11783" max="12031" width="0" style="80" hidden="1" customWidth="1"/>
    <col min="12032" max="12032" width="0.85546875" style="80"/>
    <col min="12033" max="12034" width="1.7109375" style="80" customWidth="1"/>
    <col min="12035" max="12035" width="53.140625" style="80" customWidth="1"/>
    <col min="12036" max="12037" width="0.85546875" style="80" customWidth="1"/>
    <col min="12038" max="12038" width="16.5703125" style="80" customWidth="1"/>
    <col min="12039" max="12287" width="0" style="80" hidden="1" customWidth="1"/>
    <col min="12288" max="12288" width="0.85546875" style="80"/>
    <col min="12289" max="12290" width="1.7109375" style="80" customWidth="1"/>
    <col min="12291" max="12291" width="53.140625" style="80" customWidth="1"/>
    <col min="12292" max="12293" width="0.85546875" style="80" customWidth="1"/>
    <col min="12294" max="12294" width="16.5703125" style="80" customWidth="1"/>
    <col min="12295" max="12543" width="0" style="80" hidden="1" customWidth="1"/>
    <col min="12544" max="12544" width="0.85546875" style="80"/>
    <col min="12545" max="12546" width="1.7109375" style="80" customWidth="1"/>
    <col min="12547" max="12547" width="53.140625" style="80" customWidth="1"/>
    <col min="12548" max="12549" width="0.85546875" style="80" customWidth="1"/>
    <col min="12550" max="12550" width="16.5703125" style="80" customWidth="1"/>
    <col min="12551" max="12799" width="0" style="80" hidden="1" customWidth="1"/>
    <col min="12800" max="12800" width="0.85546875" style="80"/>
    <col min="12801" max="12802" width="1.7109375" style="80" customWidth="1"/>
    <col min="12803" max="12803" width="53.140625" style="80" customWidth="1"/>
    <col min="12804" max="12805" width="0.85546875" style="80" customWidth="1"/>
    <col min="12806" max="12806" width="16.5703125" style="80" customWidth="1"/>
    <col min="12807" max="13055" width="0" style="80" hidden="1" customWidth="1"/>
    <col min="13056" max="13056" width="0.85546875" style="80"/>
    <col min="13057" max="13058" width="1.7109375" style="80" customWidth="1"/>
    <col min="13059" max="13059" width="53.140625" style="80" customWidth="1"/>
    <col min="13060" max="13061" width="0.85546875" style="80" customWidth="1"/>
    <col min="13062" max="13062" width="16.5703125" style="80" customWidth="1"/>
    <col min="13063" max="13311" width="0" style="80" hidden="1" customWidth="1"/>
    <col min="13312" max="13312" width="0.85546875" style="80"/>
    <col min="13313" max="13314" width="1.7109375" style="80" customWidth="1"/>
    <col min="13315" max="13315" width="53.140625" style="80" customWidth="1"/>
    <col min="13316" max="13317" width="0.85546875" style="80" customWidth="1"/>
    <col min="13318" max="13318" width="16.5703125" style="80" customWidth="1"/>
    <col min="13319" max="13567" width="0" style="80" hidden="1" customWidth="1"/>
    <col min="13568" max="13568" width="0.85546875" style="80"/>
    <col min="13569" max="13570" width="1.7109375" style="80" customWidth="1"/>
    <col min="13571" max="13571" width="53.140625" style="80" customWidth="1"/>
    <col min="13572" max="13573" width="0.85546875" style="80" customWidth="1"/>
    <col min="13574" max="13574" width="16.5703125" style="80" customWidth="1"/>
    <col min="13575" max="13823" width="0" style="80" hidden="1" customWidth="1"/>
    <col min="13824" max="13824" width="0.85546875" style="80"/>
    <col min="13825" max="13826" width="1.7109375" style="80" customWidth="1"/>
    <col min="13827" max="13827" width="53.140625" style="80" customWidth="1"/>
    <col min="13828" max="13829" width="0.85546875" style="80" customWidth="1"/>
    <col min="13830" max="13830" width="16.5703125" style="80" customWidth="1"/>
    <col min="13831" max="14079" width="0" style="80" hidden="1" customWidth="1"/>
    <col min="14080" max="14080" width="0.85546875" style="80"/>
    <col min="14081" max="14082" width="1.7109375" style="80" customWidth="1"/>
    <col min="14083" max="14083" width="53.140625" style="80" customWidth="1"/>
    <col min="14084" max="14085" width="0.85546875" style="80" customWidth="1"/>
    <col min="14086" max="14086" width="16.5703125" style="80" customWidth="1"/>
    <col min="14087" max="14335" width="0" style="80" hidden="1" customWidth="1"/>
    <col min="14336" max="14336" width="0.85546875" style="80"/>
    <col min="14337" max="14338" width="1.7109375" style="80" customWidth="1"/>
    <col min="14339" max="14339" width="53.140625" style="80" customWidth="1"/>
    <col min="14340" max="14341" width="0.85546875" style="80" customWidth="1"/>
    <col min="14342" max="14342" width="16.5703125" style="80" customWidth="1"/>
    <col min="14343" max="14591" width="0" style="80" hidden="1" customWidth="1"/>
    <col min="14592" max="14592" width="0.85546875" style="80"/>
    <col min="14593" max="14594" width="1.7109375" style="80" customWidth="1"/>
    <col min="14595" max="14595" width="53.140625" style="80" customWidth="1"/>
    <col min="14596" max="14597" width="0.85546875" style="80" customWidth="1"/>
    <col min="14598" max="14598" width="16.5703125" style="80" customWidth="1"/>
    <col min="14599" max="14847" width="0" style="80" hidden="1" customWidth="1"/>
    <col min="14848" max="14848" width="0.85546875" style="80"/>
    <col min="14849" max="14850" width="1.7109375" style="80" customWidth="1"/>
    <col min="14851" max="14851" width="53.140625" style="80" customWidth="1"/>
    <col min="14852" max="14853" width="0.85546875" style="80" customWidth="1"/>
    <col min="14854" max="14854" width="16.5703125" style="80" customWidth="1"/>
    <col min="14855" max="15103" width="0" style="80" hidden="1" customWidth="1"/>
    <col min="15104" max="15104" width="0.85546875" style="80"/>
    <col min="15105" max="15106" width="1.7109375" style="80" customWidth="1"/>
    <col min="15107" max="15107" width="53.140625" style="80" customWidth="1"/>
    <col min="15108" max="15109" width="0.85546875" style="80" customWidth="1"/>
    <col min="15110" max="15110" width="16.5703125" style="80" customWidth="1"/>
    <col min="15111" max="15359" width="0" style="80" hidden="1" customWidth="1"/>
    <col min="15360" max="15360" width="0.85546875" style="80"/>
    <col min="15361" max="15362" width="1.7109375" style="80" customWidth="1"/>
    <col min="15363" max="15363" width="53.140625" style="80" customWidth="1"/>
    <col min="15364" max="15365" width="0.85546875" style="80" customWidth="1"/>
    <col min="15366" max="15366" width="16.5703125" style="80" customWidth="1"/>
    <col min="15367" max="15615" width="0" style="80" hidden="1" customWidth="1"/>
    <col min="15616" max="15616" width="0.85546875" style="80"/>
    <col min="15617" max="15618" width="1.7109375" style="80" customWidth="1"/>
    <col min="15619" max="15619" width="53.140625" style="80" customWidth="1"/>
    <col min="15620" max="15621" width="0.85546875" style="80" customWidth="1"/>
    <col min="15622" max="15622" width="16.5703125" style="80" customWidth="1"/>
    <col min="15623" max="15871" width="0" style="80" hidden="1" customWidth="1"/>
    <col min="15872" max="15872" width="0.85546875" style="80"/>
    <col min="15873" max="15874" width="1.7109375" style="80" customWidth="1"/>
    <col min="15875" max="15875" width="53.140625" style="80" customWidth="1"/>
    <col min="15876" max="15877" width="0.85546875" style="80" customWidth="1"/>
    <col min="15878" max="15878" width="16.5703125" style="80" customWidth="1"/>
    <col min="15879" max="16127" width="0" style="80" hidden="1" customWidth="1"/>
    <col min="16128" max="16128" width="0.85546875" style="80"/>
    <col min="16129" max="16130" width="1.7109375" style="80" customWidth="1"/>
    <col min="16131" max="16131" width="53.140625" style="80" customWidth="1"/>
    <col min="16132" max="16133" width="0.85546875" style="80" customWidth="1"/>
    <col min="16134" max="16134" width="16.5703125" style="80" customWidth="1"/>
    <col min="16135" max="16383" width="0" style="80" hidden="1" customWidth="1"/>
    <col min="16384" max="16384" width="0.85546875" style="80"/>
  </cols>
  <sheetData>
    <row r="1" spans="1:6" ht="16.5" x14ac:dyDescent="0.3">
      <c r="A1" s="316" t="s">
        <v>366</v>
      </c>
      <c r="B1" s="316"/>
      <c r="C1" s="316"/>
      <c r="D1" s="316"/>
      <c r="E1" s="316"/>
      <c r="F1" s="316"/>
    </row>
    <row r="2" spans="1:6" ht="15" x14ac:dyDescent="0.3">
      <c r="A2" s="81"/>
      <c r="B2" s="81"/>
      <c r="C2" s="81"/>
      <c r="D2" s="81"/>
      <c r="E2" s="81"/>
      <c r="F2" s="81"/>
    </row>
    <row r="3" spans="1:6" ht="15" x14ac:dyDescent="0.3">
      <c r="A3" s="317" t="s">
        <v>360</v>
      </c>
      <c r="B3" s="317"/>
      <c r="C3" s="317"/>
      <c r="D3" s="317"/>
      <c r="E3" s="317"/>
      <c r="F3" s="317"/>
    </row>
    <row r="4" spans="1:6" ht="15" x14ac:dyDescent="0.3">
      <c r="A4" s="81"/>
      <c r="B4" s="81"/>
      <c r="C4" s="81"/>
      <c r="D4" s="81"/>
      <c r="E4" s="81"/>
      <c r="F4" s="81"/>
    </row>
    <row r="5" spans="1:6" ht="15.75" thickBot="1" x14ac:dyDescent="0.35">
      <c r="A5" s="82"/>
      <c r="B5" s="82"/>
      <c r="C5" s="82"/>
      <c r="D5" s="82"/>
      <c r="E5" s="82"/>
      <c r="F5" s="82"/>
    </row>
    <row r="6" spans="1:6" ht="16.5" thickTop="1" thickBot="1" x14ac:dyDescent="0.35">
      <c r="A6" s="83"/>
      <c r="B6" s="84"/>
      <c r="C6" s="84"/>
      <c r="D6" s="85"/>
      <c r="E6" s="85"/>
      <c r="F6" s="86"/>
    </row>
    <row r="7" spans="1:6" ht="15.75" thickTop="1" x14ac:dyDescent="0.3">
      <c r="A7" s="87"/>
      <c r="B7" s="88"/>
      <c r="C7" s="88"/>
      <c r="D7" s="89"/>
      <c r="E7" s="89"/>
      <c r="F7" s="90"/>
    </row>
    <row r="8" spans="1:6" ht="15" x14ac:dyDescent="0.3">
      <c r="A8" s="91"/>
      <c r="B8" s="92" t="s">
        <v>107</v>
      </c>
      <c r="C8" s="92"/>
      <c r="D8" s="93"/>
      <c r="E8" s="94"/>
      <c r="F8" s="95">
        <v>98370.262000000002</v>
      </c>
    </row>
    <row r="9" spans="1:6" ht="15" x14ac:dyDescent="0.3">
      <c r="A9" s="96"/>
      <c r="B9" s="82"/>
      <c r="C9" s="82"/>
      <c r="D9" s="97"/>
      <c r="E9" s="98"/>
      <c r="F9" s="99"/>
    </row>
    <row r="10" spans="1:6" ht="15" x14ac:dyDescent="0.3">
      <c r="A10" s="96"/>
      <c r="B10" s="100" t="s">
        <v>108</v>
      </c>
      <c r="C10" s="82"/>
      <c r="D10" s="97"/>
      <c r="E10" s="98"/>
      <c r="F10" s="95">
        <f>SUM(F11:F15)</f>
        <v>30821.723999999998</v>
      </c>
    </row>
    <row r="11" spans="1:6" ht="15" x14ac:dyDescent="0.3">
      <c r="A11" s="96"/>
      <c r="B11" s="92"/>
      <c r="C11" s="82"/>
      <c r="D11" s="97"/>
      <c r="E11" s="98"/>
      <c r="F11" s="95"/>
    </row>
    <row r="12" spans="1:6" ht="15" x14ac:dyDescent="0.3">
      <c r="A12" s="96"/>
      <c r="B12" s="92"/>
      <c r="C12" s="82" t="s">
        <v>109</v>
      </c>
      <c r="D12" s="97"/>
      <c r="E12" s="101"/>
      <c r="F12" s="110">
        <v>25838.397000000001</v>
      </c>
    </row>
    <row r="13" spans="1:6" ht="15" x14ac:dyDescent="0.3">
      <c r="A13" s="96"/>
      <c r="B13" s="92"/>
      <c r="C13" s="82" t="s">
        <v>193</v>
      </c>
      <c r="D13" s="97"/>
      <c r="E13" s="101"/>
      <c r="F13" s="110">
        <v>3875.76</v>
      </c>
    </row>
    <row r="14" spans="1:6" ht="15" x14ac:dyDescent="0.3">
      <c r="A14" s="96"/>
      <c r="B14" s="92"/>
      <c r="C14" s="82" t="s">
        <v>110</v>
      </c>
      <c r="D14" s="97"/>
      <c r="E14" s="101"/>
      <c r="F14" s="110"/>
    </row>
    <row r="15" spans="1:6" ht="15" x14ac:dyDescent="0.3">
      <c r="A15" s="96"/>
      <c r="B15" s="92"/>
      <c r="C15" s="82" t="s">
        <v>184</v>
      </c>
      <c r="D15" s="97"/>
      <c r="E15" s="101"/>
      <c r="F15" s="110">
        <v>1107.567</v>
      </c>
    </row>
    <row r="16" spans="1:6" ht="15" x14ac:dyDescent="0.3">
      <c r="A16" s="96"/>
      <c r="B16" s="92"/>
      <c r="C16" s="111" t="s">
        <v>111</v>
      </c>
      <c r="D16" s="97"/>
      <c r="E16" s="101"/>
      <c r="F16" s="110">
        <v>0</v>
      </c>
    </row>
    <row r="17" spans="1:259" ht="15" x14ac:dyDescent="0.3">
      <c r="A17" s="96"/>
      <c r="B17" s="92"/>
      <c r="C17" s="112" t="s">
        <v>112</v>
      </c>
      <c r="D17" s="97"/>
      <c r="E17" s="101"/>
      <c r="F17" s="113"/>
    </row>
    <row r="18" spans="1:259" ht="15" x14ac:dyDescent="0.3">
      <c r="A18" s="96"/>
      <c r="B18" s="92"/>
      <c r="C18" s="112" t="s">
        <v>113</v>
      </c>
      <c r="D18" s="97"/>
      <c r="E18" s="101"/>
      <c r="F18" s="110"/>
    </row>
    <row r="19" spans="1:259" ht="15" x14ac:dyDescent="0.3">
      <c r="A19" s="96"/>
      <c r="B19" s="92"/>
      <c r="C19" s="112" t="s">
        <v>114</v>
      </c>
      <c r="D19" s="97"/>
      <c r="E19" s="101"/>
      <c r="F19" s="110"/>
    </row>
    <row r="20" spans="1:259" ht="15" x14ac:dyDescent="0.3">
      <c r="A20" s="96"/>
      <c r="B20" s="92"/>
      <c r="C20" s="111" t="s">
        <v>115</v>
      </c>
      <c r="D20" s="97"/>
      <c r="E20" s="101"/>
      <c r="F20" s="110">
        <v>0</v>
      </c>
    </row>
    <row r="21" spans="1:259" ht="15" x14ac:dyDescent="0.3">
      <c r="A21" s="96"/>
      <c r="B21" s="92"/>
      <c r="C21" s="111" t="s">
        <v>170</v>
      </c>
      <c r="D21" s="97"/>
      <c r="E21" s="101"/>
      <c r="F21" s="110"/>
    </row>
    <row r="22" spans="1:259" ht="15" x14ac:dyDescent="0.3">
      <c r="A22" s="96"/>
      <c r="B22" s="92"/>
      <c r="C22" s="82" t="s">
        <v>164</v>
      </c>
      <c r="D22" s="97"/>
      <c r="E22" s="101"/>
      <c r="F22" s="110">
        <v>0</v>
      </c>
    </row>
    <row r="23" spans="1:259" ht="15" x14ac:dyDescent="0.3">
      <c r="A23" s="96"/>
      <c r="B23" s="92"/>
      <c r="C23" s="112" t="s">
        <v>165</v>
      </c>
      <c r="D23" s="97"/>
      <c r="E23" s="101"/>
      <c r="F23" s="110"/>
    </row>
    <row r="24" spans="1:259" ht="15" x14ac:dyDescent="0.3">
      <c r="A24" s="96"/>
      <c r="B24" s="82"/>
      <c r="C24" s="82"/>
      <c r="D24" s="97"/>
      <c r="E24" s="101"/>
      <c r="F24" s="110">
        <v>0</v>
      </c>
    </row>
    <row r="25" spans="1:259" ht="15" x14ac:dyDescent="0.3">
      <c r="A25" s="96"/>
      <c r="B25" s="100" t="s">
        <v>116</v>
      </c>
      <c r="C25" s="82"/>
      <c r="D25" s="97"/>
      <c r="E25" s="101"/>
      <c r="F25" s="114">
        <f>SUM(F26:F27)</f>
        <v>0</v>
      </c>
    </row>
    <row r="26" spans="1:259" ht="15" x14ac:dyDescent="0.3">
      <c r="A26" s="96"/>
      <c r="B26" s="82"/>
      <c r="C26" s="82" t="s">
        <v>166</v>
      </c>
      <c r="D26" s="97"/>
      <c r="E26" s="101"/>
      <c r="F26" s="110">
        <v>0</v>
      </c>
    </row>
    <row r="27" spans="1:259" ht="15" x14ac:dyDescent="0.3">
      <c r="A27" s="96"/>
      <c r="B27" s="82"/>
      <c r="C27" s="82" t="s">
        <v>167</v>
      </c>
      <c r="D27" s="97"/>
      <c r="E27" s="101"/>
      <c r="F27" s="110"/>
    </row>
    <row r="28" spans="1:259" ht="15" x14ac:dyDescent="0.3">
      <c r="A28" s="96"/>
      <c r="B28" s="82"/>
      <c r="C28" s="82"/>
      <c r="D28" s="97"/>
      <c r="E28" s="101"/>
      <c r="F28" s="102"/>
    </row>
    <row r="29" spans="1:259" ht="15" x14ac:dyDescent="0.3">
      <c r="A29" s="91"/>
      <c r="B29" s="92" t="s">
        <v>117</v>
      </c>
      <c r="C29" s="92"/>
      <c r="D29" s="93"/>
      <c r="E29" s="102"/>
      <c r="F29" s="102">
        <f>+F8+F10+F25</f>
        <v>129191.986</v>
      </c>
    </row>
    <row r="30" spans="1:259" ht="15" x14ac:dyDescent="0.3">
      <c r="A30" s="91"/>
      <c r="B30" s="130" t="s">
        <v>189</v>
      </c>
      <c r="C30" s="92"/>
      <c r="D30" s="93"/>
      <c r="E30" s="102"/>
      <c r="F30" s="102">
        <f>+F29</f>
        <v>129191.986</v>
      </c>
    </row>
    <row r="31" spans="1:259" ht="15" x14ac:dyDescent="0.3">
      <c r="A31" s="91"/>
      <c r="B31" s="130"/>
      <c r="C31" s="92"/>
      <c r="D31" s="93"/>
      <c r="E31" s="102"/>
      <c r="F31" s="102"/>
    </row>
    <row r="32" spans="1:259" ht="15" x14ac:dyDescent="0.3">
      <c r="A32" s="91"/>
      <c r="B32" s="92" t="s">
        <v>355</v>
      </c>
      <c r="C32" s="92"/>
      <c r="D32" s="93"/>
      <c r="E32" s="102"/>
      <c r="F32" s="290">
        <f>F30*0.2</f>
        <v>25838.397200000003</v>
      </c>
      <c r="IY32" s="278"/>
    </row>
    <row r="33" spans="1:259" ht="15" x14ac:dyDescent="0.3">
      <c r="A33" s="91"/>
      <c r="B33" s="92" t="s">
        <v>194</v>
      </c>
      <c r="C33" s="93"/>
      <c r="D33" s="94"/>
      <c r="E33" s="102"/>
      <c r="F33" s="102"/>
    </row>
    <row r="34" spans="1:259" ht="15" x14ac:dyDescent="0.3">
      <c r="A34" s="91"/>
      <c r="B34" s="92" t="s">
        <v>364</v>
      </c>
      <c r="C34" s="93"/>
      <c r="D34" s="94"/>
      <c r="E34" s="94"/>
      <c r="F34" s="282">
        <v>64184.059000000001</v>
      </c>
    </row>
    <row r="35" spans="1:259" ht="15" x14ac:dyDescent="0.3">
      <c r="A35" s="91"/>
      <c r="B35" s="92" t="s">
        <v>195</v>
      </c>
      <c r="C35" s="93"/>
      <c r="D35" s="94"/>
      <c r="E35" s="94"/>
      <c r="F35" s="282">
        <v>106.08499999999999</v>
      </c>
    </row>
    <row r="36" spans="1:259" ht="15" x14ac:dyDescent="0.3">
      <c r="A36" s="91"/>
      <c r="B36" s="92" t="s">
        <v>362</v>
      </c>
      <c r="C36" s="93"/>
      <c r="D36" s="94"/>
      <c r="E36" s="94"/>
      <c r="F36" s="282">
        <f>+F34+F35-F32</f>
        <v>38451.746799999994</v>
      </c>
    </row>
    <row r="37" spans="1:259" ht="15" x14ac:dyDescent="0.3">
      <c r="A37" s="91"/>
      <c r="B37" s="92" t="s">
        <v>354</v>
      </c>
      <c r="C37" s="93"/>
      <c r="D37" s="94"/>
      <c r="E37" s="94"/>
      <c r="F37" s="282">
        <f>+F29*3%</f>
        <v>3875.7595799999999</v>
      </c>
    </row>
    <row r="38" spans="1:259" ht="15" x14ac:dyDescent="0.3">
      <c r="A38" s="91"/>
      <c r="B38" s="92" t="s">
        <v>365</v>
      </c>
      <c r="C38" s="93"/>
      <c r="D38" s="94"/>
      <c r="E38" s="94"/>
      <c r="F38" s="95">
        <v>6768.8109999999997</v>
      </c>
    </row>
    <row r="39" spans="1:259" ht="15" x14ac:dyDescent="0.3">
      <c r="A39" s="91"/>
      <c r="B39" s="92" t="s">
        <v>363</v>
      </c>
      <c r="C39" s="93"/>
      <c r="D39" s="94"/>
      <c r="E39" s="94"/>
      <c r="F39" s="95">
        <f>+F38-F37</f>
        <v>2893.0514199999998</v>
      </c>
    </row>
    <row r="40" spans="1:259" ht="15.75" thickBot="1" x14ac:dyDescent="0.35">
      <c r="A40" s="103"/>
      <c r="B40" s="104"/>
      <c r="C40" s="104"/>
      <c r="D40" s="105"/>
      <c r="E40" s="106"/>
      <c r="F40" s="107"/>
    </row>
    <row r="41" spans="1:259" ht="15.75" thickTop="1" x14ac:dyDescent="0.3"/>
    <row r="42" spans="1:259" ht="15" x14ac:dyDescent="0.3">
      <c r="IY42" s="270"/>
    </row>
    <row r="43" spans="1:259" ht="15" x14ac:dyDescent="0.3"/>
    <row r="44" spans="1:259" ht="15" x14ac:dyDescent="0.3"/>
    <row r="45" spans="1:259" ht="15" x14ac:dyDescent="0.3"/>
    <row r="46" spans="1:259" ht="15" x14ac:dyDescent="0.3"/>
    <row r="47" spans="1:259" ht="15" x14ac:dyDescent="0.3"/>
    <row r="48" spans="1:259" ht="15" x14ac:dyDescent="0.3"/>
    <row r="49" ht="15" x14ac:dyDescent="0.3"/>
    <row r="50" ht="15" x14ac:dyDescent="0.3"/>
    <row r="51" ht="15" x14ac:dyDescent="0.3"/>
    <row r="52" ht="15" x14ac:dyDescent="0.3"/>
    <row r="53" ht="15" x14ac:dyDescent="0.3"/>
    <row r="54" ht="15" x14ac:dyDescent="0.3"/>
    <row r="55" ht="15" x14ac:dyDescent="0.3"/>
    <row r="56" ht="15" x14ac:dyDescent="0.3"/>
    <row r="57" ht="15" x14ac:dyDescent="0.3"/>
    <row r="58" ht="15" x14ac:dyDescent="0.3"/>
    <row r="59" ht="15" x14ac:dyDescent="0.3"/>
    <row r="60" ht="15" x14ac:dyDescent="0.3"/>
    <row r="61" ht="15" x14ac:dyDescent="0.3"/>
    <row r="62" ht="15" x14ac:dyDescent="0.3"/>
    <row r="63" ht="15" x14ac:dyDescent="0.3"/>
    <row r="64" ht="15" x14ac:dyDescent="0.3"/>
    <row r="65" ht="15" x14ac:dyDescent="0.3"/>
    <row r="66" ht="15" x14ac:dyDescent="0.3"/>
    <row r="67" ht="15" x14ac:dyDescent="0.3"/>
    <row r="68" ht="15" x14ac:dyDescent="0.3"/>
    <row r="69" ht="15" x14ac:dyDescent="0.3"/>
    <row r="70" ht="15" x14ac:dyDescent="0.3"/>
    <row r="71" ht="15" x14ac:dyDescent="0.3"/>
    <row r="72" ht="15" x14ac:dyDescent="0.3"/>
    <row r="73" ht="15" x14ac:dyDescent="0.3"/>
    <row r="74" ht="15" x14ac:dyDescent="0.3"/>
    <row r="75" ht="15" x14ac:dyDescent="0.3"/>
    <row r="76" ht="15" x14ac:dyDescent="0.3"/>
    <row r="77" ht="15" x14ac:dyDescent="0.3"/>
    <row r="78" ht="15" x14ac:dyDescent="0.3"/>
    <row r="79" ht="15" x14ac:dyDescent="0.3"/>
    <row r="80" ht="15" x14ac:dyDescent="0.3"/>
    <row r="81" ht="15" x14ac:dyDescent="0.3"/>
    <row r="82" ht="15" x14ac:dyDescent="0.3"/>
    <row r="83" ht="15" x14ac:dyDescent="0.3"/>
    <row r="84" ht="15" x14ac:dyDescent="0.3"/>
    <row r="85" ht="15" x14ac:dyDescent="0.3"/>
    <row r="86" ht="15" x14ac:dyDescent="0.3"/>
    <row r="87" ht="15" x14ac:dyDescent="0.3"/>
    <row r="88" ht="15" x14ac:dyDescent="0.3"/>
    <row r="89" ht="15" x14ac:dyDescent="0.3"/>
    <row r="90" ht="15" x14ac:dyDescent="0.3"/>
    <row r="91" ht="15" x14ac:dyDescent="0.3"/>
    <row r="92" ht="15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</sheetData>
  <mergeCells count="2">
    <mergeCell ref="A1:F1"/>
    <mergeCell ref="A3:F3"/>
  </mergeCells>
  <pageMargins left="0.70866141732283472" right="0.70866141732283472" top="0.74803149606299213" bottom="0.74803149606299213" header="0.31496062992125984" footer="0.31496062992125984"/>
  <pageSetup paperSize="9" scale="105" orientation="portrait" r:id="rId1"/>
  <headerFooter>
    <oddHeader>&amp;R&amp;"Arial,Gras"Annexe 2</oddHeader>
  </headerFooter>
  <ignoredErrors>
    <ignoredError sqref="F1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33"/>
  <sheetViews>
    <sheetView showGridLines="0" zoomScaleNormal="100" workbookViewId="0">
      <selection activeCell="J33" sqref="J33"/>
    </sheetView>
  </sheetViews>
  <sheetFormatPr baseColWidth="10" defaultRowHeight="15" x14ac:dyDescent="0.25"/>
  <cols>
    <col min="2" max="2" width="29.5703125" customWidth="1"/>
    <col min="3" max="3" width="0.5703125" customWidth="1"/>
    <col min="6" max="6" width="12.7109375" customWidth="1"/>
    <col min="8" max="8" width="0.5703125" customWidth="1"/>
    <col min="258" max="258" width="16.42578125" customWidth="1"/>
    <col min="259" max="259" width="0.5703125" customWidth="1"/>
    <col min="264" max="264" width="0.5703125" customWidth="1"/>
    <col min="514" max="514" width="16.42578125" customWidth="1"/>
    <col min="515" max="515" width="0.5703125" customWidth="1"/>
    <col min="520" max="520" width="0.5703125" customWidth="1"/>
    <col min="770" max="770" width="16.42578125" customWidth="1"/>
    <col min="771" max="771" width="0.5703125" customWidth="1"/>
    <col min="776" max="776" width="0.5703125" customWidth="1"/>
    <col min="1026" max="1026" width="16.42578125" customWidth="1"/>
    <col min="1027" max="1027" width="0.5703125" customWidth="1"/>
    <col min="1032" max="1032" width="0.5703125" customWidth="1"/>
    <col min="1282" max="1282" width="16.42578125" customWidth="1"/>
    <col min="1283" max="1283" width="0.5703125" customWidth="1"/>
    <col min="1288" max="1288" width="0.5703125" customWidth="1"/>
    <col min="1538" max="1538" width="16.42578125" customWidth="1"/>
    <col min="1539" max="1539" width="0.5703125" customWidth="1"/>
    <col min="1544" max="1544" width="0.5703125" customWidth="1"/>
    <col min="1794" max="1794" width="16.42578125" customWidth="1"/>
    <col min="1795" max="1795" width="0.5703125" customWidth="1"/>
    <col min="1800" max="1800" width="0.5703125" customWidth="1"/>
    <col min="2050" max="2050" width="16.42578125" customWidth="1"/>
    <col min="2051" max="2051" width="0.5703125" customWidth="1"/>
    <col min="2056" max="2056" width="0.5703125" customWidth="1"/>
    <col min="2306" max="2306" width="16.42578125" customWidth="1"/>
    <col min="2307" max="2307" width="0.5703125" customWidth="1"/>
    <col min="2312" max="2312" width="0.5703125" customWidth="1"/>
    <col min="2562" max="2562" width="16.42578125" customWidth="1"/>
    <col min="2563" max="2563" width="0.5703125" customWidth="1"/>
    <col min="2568" max="2568" width="0.5703125" customWidth="1"/>
    <col min="2818" max="2818" width="16.42578125" customWidth="1"/>
    <col min="2819" max="2819" width="0.5703125" customWidth="1"/>
    <col min="2824" max="2824" width="0.5703125" customWidth="1"/>
    <col min="3074" max="3074" width="16.42578125" customWidth="1"/>
    <col min="3075" max="3075" width="0.5703125" customWidth="1"/>
    <col min="3080" max="3080" width="0.5703125" customWidth="1"/>
    <col min="3330" max="3330" width="16.42578125" customWidth="1"/>
    <col min="3331" max="3331" width="0.5703125" customWidth="1"/>
    <col min="3336" max="3336" width="0.5703125" customWidth="1"/>
    <col min="3586" max="3586" width="16.42578125" customWidth="1"/>
    <col min="3587" max="3587" width="0.5703125" customWidth="1"/>
    <col min="3592" max="3592" width="0.5703125" customWidth="1"/>
    <col min="3842" max="3842" width="16.42578125" customWidth="1"/>
    <col min="3843" max="3843" width="0.5703125" customWidth="1"/>
    <col min="3848" max="3848" width="0.5703125" customWidth="1"/>
    <col min="4098" max="4098" width="16.42578125" customWidth="1"/>
    <col min="4099" max="4099" width="0.5703125" customWidth="1"/>
    <col min="4104" max="4104" width="0.5703125" customWidth="1"/>
    <col min="4354" max="4354" width="16.42578125" customWidth="1"/>
    <col min="4355" max="4355" width="0.5703125" customWidth="1"/>
    <col min="4360" max="4360" width="0.5703125" customWidth="1"/>
    <col min="4610" max="4610" width="16.42578125" customWidth="1"/>
    <col min="4611" max="4611" width="0.5703125" customWidth="1"/>
    <col min="4616" max="4616" width="0.5703125" customWidth="1"/>
    <col min="4866" max="4866" width="16.42578125" customWidth="1"/>
    <col min="4867" max="4867" width="0.5703125" customWidth="1"/>
    <col min="4872" max="4872" width="0.5703125" customWidth="1"/>
    <col min="5122" max="5122" width="16.42578125" customWidth="1"/>
    <col min="5123" max="5123" width="0.5703125" customWidth="1"/>
    <col min="5128" max="5128" width="0.5703125" customWidth="1"/>
    <col min="5378" max="5378" width="16.42578125" customWidth="1"/>
    <col min="5379" max="5379" width="0.5703125" customWidth="1"/>
    <col min="5384" max="5384" width="0.5703125" customWidth="1"/>
    <col min="5634" max="5634" width="16.42578125" customWidth="1"/>
    <col min="5635" max="5635" width="0.5703125" customWidth="1"/>
    <col min="5640" max="5640" width="0.5703125" customWidth="1"/>
    <col min="5890" max="5890" width="16.42578125" customWidth="1"/>
    <col min="5891" max="5891" width="0.5703125" customWidth="1"/>
    <col min="5896" max="5896" width="0.5703125" customWidth="1"/>
    <col min="6146" max="6146" width="16.42578125" customWidth="1"/>
    <col min="6147" max="6147" width="0.5703125" customWidth="1"/>
    <col min="6152" max="6152" width="0.5703125" customWidth="1"/>
    <col min="6402" max="6402" width="16.42578125" customWidth="1"/>
    <col min="6403" max="6403" width="0.5703125" customWidth="1"/>
    <col min="6408" max="6408" width="0.5703125" customWidth="1"/>
    <col min="6658" max="6658" width="16.42578125" customWidth="1"/>
    <col min="6659" max="6659" width="0.5703125" customWidth="1"/>
    <col min="6664" max="6664" width="0.5703125" customWidth="1"/>
    <col min="6914" max="6914" width="16.42578125" customWidth="1"/>
    <col min="6915" max="6915" width="0.5703125" customWidth="1"/>
    <col min="6920" max="6920" width="0.5703125" customWidth="1"/>
    <col min="7170" max="7170" width="16.42578125" customWidth="1"/>
    <col min="7171" max="7171" width="0.5703125" customWidth="1"/>
    <col min="7176" max="7176" width="0.5703125" customWidth="1"/>
    <col min="7426" max="7426" width="16.42578125" customWidth="1"/>
    <col min="7427" max="7427" width="0.5703125" customWidth="1"/>
    <col min="7432" max="7432" width="0.5703125" customWidth="1"/>
    <col min="7682" max="7682" width="16.42578125" customWidth="1"/>
    <col min="7683" max="7683" width="0.5703125" customWidth="1"/>
    <col min="7688" max="7688" width="0.5703125" customWidth="1"/>
    <col min="7938" max="7938" width="16.42578125" customWidth="1"/>
    <col min="7939" max="7939" width="0.5703125" customWidth="1"/>
    <col min="7944" max="7944" width="0.5703125" customWidth="1"/>
    <col min="8194" max="8194" width="16.42578125" customWidth="1"/>
    <col min="8195" max="8195" width="0.5703125" customWidth="1"/>
    <col min="8200" max="8200" width="0.5703125" customWidth="1"/>
    <col min="8450" max="8450" width="16.42578125" customWidth="1"/>
    <col min="8451" max="8451" width="0.5703125" customWidth="1"/>
    <col min="8456" max="8456" width="0.5703125" customWidth="1"/>
    <col min="8706" max="8706" width="16.42578125" customWidth="1"/>
    <col min="8707" max="8707" width="0.5703125" customWidth="1"/>
    <col min="8712" max="8712" width="0.5703125" customWidth="1"/>
    <col min="8962" max="8962" width="16.42578125" customWidth="1"/>
    <col min="8963" max="8963" width="0.5703125" customWidth="1"/>
    <col min="8968" max="8968" width="0.5703125" customWidth="1"/>
    <col min="9218" max="9218" width="16.42578125" customWidth="1"/>
    <col min="9219" max="9219" width="0.5703125" customWidth="1"/>
    <col min="9224" max="9224" width="0.5703125" customWidth="1"/>
    <col min="9474" max="9474" width="16.42578125" customWidth="1"/>
    <col min="9475" max="9475" width="0.5703125" customWidth="1"/>
    <col min="9480" max="9480" width="0.5703125" customWidth="1"/>
    <col min="9730" max="9730" width="16.42578125" customWidth="1"/>
    <col min="9731" max="9731" width="0.5703125" customWidth="1"/>
    <col min="9736" max="9736" width="0.5703125" customWidth="1"/>
    <col min="9986" max="9986" width="16.42578125" customWidth="1"/>
    <col min="9987" max="9987" width="0.5703125" customWidth="1"/>
    <col min="9992" max="9992" width="0.5703125" customWidth="1"/>
    <col min="10242" max="10242" width="16.42578125" customWidth="1"/>
    <col min="10243" max="10243" width="0.5703125" customWidth="1"/>
    <col min="10248" max="10248" width="0.5703125" customWidth="1"/>
    <col min="10498" max="10498" width="16.42578125" customWidth="1"/>
    <col min="10499" max="10499" width="0.5703125" customWidth="1"/>
    <col min="10504" max="10504" width="0.5703125" customWidth="1"/>
    <col min="10754" max="10754" width="16.42578125" customWidth="1"/>
    <col min="10755" max="10755" width="0.5703125" customWidth="1"/>
    <col min="10760" max="10760" width="0.5703125" customWidth="1"/>
    <col min="11010" max="11010" width="16.42578125" customWidth="1"/>
    <col min="11011" max="11011" width="0.5703125" customWidth="1"/>
    <col min="11016" max="11016" width="0.5703125" customWidth="1"/>
    <col min="11266" max="11266" width="16.42578125" customWidth="1"/>
    <col min="11267" max="11267" width="0.5703125" customWidth="1"/>
    <col min="11272" max="11272" width="0.5703125" customWidth="1"/>
    <col min="11522" max="11522" width="16.42578125" customWidth="1"/>
    <col min="11523" max="11523" width="0.5703125" customWidth="1"/>
    <col min="11528" max="11528" width="0.5703125" customWidth="1"/>
    <col min="11778" max="11778" width="16.42578125" customWidth="1"/>
    <col min="11779" max="11779" width="0.5703125" customWidth="1"/>
    <col min="11784" max="11784" width="0.5703125" customWidth="1"/>
    <col min="12034" max="12034" width="16.42578125" customWidth="1"/>
    <col min="12035" max="12035" width="0.5703125" customWidth="1"/>
    <col min="12040" max="12040" width="0.5703125" customWidth="1"/>
    <col min="12290" max="12290" width="16.42578125" customWidth="1"/>
    <col min="12291" max="12291" width="0.5703125" customWidth="1"/>
    <col min="12296" max="12296" width="0.5703125" customWidth="1"/>
    <col min="12546" max="12546" width="16.42578125" customWidth="1"/>
    <col min="12547" max="12547" width="0.5703125" customWidth="1"/>
    <col min="12552" max="12552" width="0.5703125" customWidth="1"/>
    <col min="12802" max="12802" width="16.42578125" customWidth="1"/>
    <col min="12803" max="12803" width="0.5703125" customWidth="1"/>
    <col min="12808" max="12808" width="0.5703125" customWidth="1"/>
    <col min="13058" max="13058" width="16.42578125" customWidth="1"/>
    <col min="13059" max="13059" width="0.5703125" customWidth="1"/>
    <col min="13064" max="13064" width="0.5703125" customWidth="1"/>
    <col min="13314" max="13314" width="16.42578125" customWidth="1"/>
    <col min="13315" max="13315" width="0.5703125" customWidth="1"/>
    <col min="13320" max="13320" width="0.5703125" customWidth="1"/>
    <col min="13570" max="13570" width="16.42578125" customWidth="1"/>
    <col min="13571" max="13571" width="0.5703125" customWidth="1"/>
    <col min="13576" max="13576" width="0.5703125" customWidth="1"/>
    <col min="13826" max="13826" width="16.42578125" customWidth="1"/>
    <col min="13827" max="13827" width="0.5703125" customWidth="1"/>
    <col min="13832" max="13832" width="0.5703125" customWidth="1"/>
    <col min="14082" max="14082" width="16.42578125" customWidth="1"/>
    <col min="14083" max="14083" width="0.5703125" customWidth="1"/>
    <col min="14088" max="14088" width="0.5703125" customWidth="1"/>
    <col min="14338" max="14338" width="16.42578125" customWidth="1"/>
    <col min="14339" max="14339" width="0.5703125" customWidth="1"/>
    <col min="14344" max="14344" width="0.5703125" customWidth="1"/>
    <col min="14594" max="14594" width="16.42578125" customWidth="1"/>
    <col min="14595" max="14595" width="0.5703125" customWidth="1"/>
    <col min="14600" max="14600" width="0.5703125" customWidth="1"/>
    <col min="14850" max="14850" width="16.42578125" customWidth="1"/>
    <col min="14851" max="14851" width="0.5703125" customWidth="1"/>
    <col min="14856" max="14856" width="0.5703125" customWidth="1"/>
    <col min="15106" max="15106" width="16.42578125" customWidth="1"/>
    <col min="15107" max="15107" width="0.5703125" customWidth="1"/>
    <col min="15112" max="15112" width="0.5703125" customWidth="1"/>
    <col min="15362" max="15362" width="16.42578125" customWidth="1"/>
    <col min="15363" max="15363" width="0.5703125" customWidth="1"/>
    <col min="15368" max="15368" width="0.5703125" customWidth="1"/>
    <col min="15618" max="15618" width="16.42578125" customWidth="1"/>
    <col min="15619" max="15619" width="0.5703125" customWidth="1"/>
    <col min="15624" max="15624" width="0.5703125" customWidth="1"/>
    <col min="15874" max="15874" width="16.42578125" customWidth="1"/>
    <col min="15875" max="15875" width="0.5703125" customWidth="1"/>
    <col min="15880" max="15880" width="0.5703125" customWidth="1"/>
    <col min="16130" max="16130" width="16.42578125" customWidth="1"/>
    <col min="16131" max="16131" width="0.5703125" customWidth="1"/>
    <col min="16136" max="16136" width="0.5703125" customWidth="1"/>
  </cols>
  <sheetData>
    <row r="1" spans="1:17" ht="20.25" x14ac:dyDescent="0.3">
      <c r="A1" s="318" t="s">
        <v>186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</row>
    <row r="2" spans="1:17" x14ac:dyDescent="0.25">
      <c r="A2" s="134"/>
      <c r="B2" s="134"/>
      <c r="C2" s="134"/>
      <c r="D2" s="134"/>
      <c r="E2" s="134"/>
      <c r="F2" s="135"/>
      <c r="G2" s="135"/>
      <c r="H2" s="135"/>
      <c r="I2" s="135"/>
      <c r="J2" s="135"/>
      <c r="K2" s="135"/>
      <c r="L2" s="135"/>
      <c r="M2" s="134"/>
    </row>
    <row r="3" spans="1:17" ht="16.5" x14ac:dyDescent="0.3">
      <c r="A3" s="319" t="s">
        <v>361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</row>
    <row r="4" spans="1:17" x14ac:dyDescent="0.25">
      <c r="A4" s="134"/>
      <c r="B4" s="134"/>
      <c r="C4" s="134"/>
      <c r="D4" s="134"/>
      <c r="E4" s="134"/>
      <c r="F4" s="135"/>
      <c r="G4" s="135"/>
      <c r="H4" s="135"/>
      <c r="I4" s="135"/>
      <c r="J4" s="135"/>
      <c r="K4" s="135"/>
      <c r="L4" s="135"/>
      <c r="M4" s="134"/>
    </row>
    <row r="5" spans="1:17" ht="16.5" x14ac:dyDescent="0.3">
      <c r="A5" s="320" t="s">
        <v>2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</row>
    <row r="6" spans="1:17" ht="15.75" x14ac:dyDescent="0.3">
      <c r="A6" s="136"/>
      <c r="B6" s="136"/>
      <c r="C6" s="136"/>
      <c r="D6" s="135"/>
      <c r="E6" s="135"/>
      <c r="F6" s="135"/>
      <c r="G6" s="135"/>
      <c r="H6" s="135"/>
      <c r="I6" s="135"/>
      <c r="J6" s="135"/>
      <c r="K6" s="135"/>
      <c r="L6" s="135"/>
      <c r="M6" s="136"/>
    </row>
    <row r="7" spans="1:17" ht="15.75" thickBot="1" x14ac:dyDescent="0.3">
      <c r="A7" s="135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</row>
    <row r="8" spans="1:17" ht="15.75" thickTop="1" x14ac:dyDescent="0.25">
      <c r="A8" s="137"/>
      <c r="B8" s="138"/>
      <c r="C8" s="139"/>
      <c r="D8" s="321" t="s">
        <v>178</v>
      </c>
      <c r="E8" s="322"/>
      <c r="F8" s="322"/>
      <c r="G8" s="322"/>
      <c r="H8" s="140"/>
      <c r="I8" s="322" t="s">
        <v>179</v>
      </c>
      <c r="J8" s="322"/>
      <c r="K8" s="322"/>
      <c r="L8" s="323"/>
      <c r="M8" s="141" t="s">
        <v>180</v>
      </c>
    </row>
    <row r="9" spans="1:17" ht="15.75" thickBot="1" x14ac:dyDescent="0.3">
      <c r="A9" s="142"/>
      <c r="B9" s="143"/>
      <c r="C9" s="144"/>
      <c r="D9" s="214">
        <v>45657</v>
      </c>
      <c r="E9" s="215" t="s">
        <v>181</v>
      </c>
      <c r="F9" s="216" t="s">
        <v>185</v>
      </c>
      <c r="G9" s="217">
        <v>46022</v>
      </c>
      <c r="H9" s="218"/>
      <c r="I9" s="219">
        <f>+D9</f>
        <v>45657</v>
      </c>
      <c r="J9" s="216" t="s">
        <v>182</v>
      </c>
      <c r="K9" s="216" t="s">
        <v>183</v>
      </c>
      <c r="L9" s="217">
        <f>+G9</f>
        <v>46022</v>
      </c>
      <c r="M9" s="218">
        <f>L9</f>
        <v>46022</v>
      </c>
    </row>
    <row r="10" spans="1:17" ht="15.75" thickTop="1" x14ac:dyDescent="0.25">
      <c r="A10" s="145"/>
      <c r="B10" s="146"/>
      <c r="C10" s="146"/>
      <c r="D10" s="220"/>
      <c r="E10" s="221"/>
      <c r="F10" s="221"/>
      <c r="G10" s="222"/>
      <c r="H10" s="223"/>
      <c r="I10" s="222"/>
      <c r="J10" s="221"/>
      <c r="K10" s="221"/>
      <c r="L10" s="222"/>
      <c r="M10" s="224"/>
      <c r="Q10" s="150"/>
    </row>
    <row r="11" spans="1:17" x14ac:dyDescent="0.25">
      <c r="A11" s="147" t="s">
        <v>352</v>
      </c>
      <c r="B11" s="157"/>
      <c r="C11" s="157"/>
      <c r="D11" s="228">
        <f>SUM(D13:D13)</f>
        <v>45000</v>
      </c>
      <c r="E11" s="229">
        <f>SUM(E13:E13)</f>
        <v>0</v>
      </c>
      <c r="F11" s="230">
        <f>SUM(F13:F13)</f>
        <v>0</v>
      </c>
      <c r="G11" s="229">
        <f>SUM(G13:G13)</f>
        <v>45000</v>
      </c>
      <c r="H11" s="223"/>
      <c r="I11" s="228">
        <f>SUM(I12:I13)</f>
        <v>0</v>
      </c>
      <c r="J11" s="229">
        <f>SUM(J12:J13)</f>
        <v>0</v>
      </c>
      <c r="K11" s="230">
        <f>SUM(K12:K13)</f>
        <v>0</v>
      </c>
      <c r="L11" s="229">
        <f>SUM(L12:L13)</f>
        <v>0</v>
      </c>
      <c r="M11" s="233">
        <f>SUM(M13:M13)</f>
        <v>45000</v>
      </c>
      <c r="Q11" s="150"/>
    </row>
    <row r="12" spans="1:17" x14ac:dyDescent="0.25">
      <c r="A12" s="156"/>
      <c r="B12" s="157"/>
      <c r="C12" s="157"/>
      <c r="D12" s="225"/>
      <c r="E12" s="226"/>
      <c r="F12" s="226"/>
      <c r="G12" s="227"/>
      <c r="H12" s="223"/>
      <c r="I12" s="227"/>
      <c r="J12" s="226"/>
      <c r="K12" s="226"/>
      <c r="L12" s="227"/>
      <c r="M12" s="281"/>
      <c r="Q12" s="150"/>
    </row>
    <row r="13" spans="1:17" x14ac:dyDescent="0.25">
      <c r="A13" s="156" t="s">
        <v>353</v>
      </c>
      <c r="B13" s="157"/>
      <c r="C13" s="157"/>
      <c r="D13" s="225">
        <v>45000</v>
      </c>
      <c r="E13" s="226">
        <v>0</v>
      </c>
      <c r="F13" s="226">
        <v>0</v>
      </c>
      <c r="G13" s="227">
        <v>45000</v>
      </c>
      <c r="H13" s="223"/>
      <c r="I13" s="227">
        <v>0</v>
      </c>
      <c r="J13" s="226">
        <v>0</v>
      </c>
      <c r="K13" s="226">
        <v>0</v>
      </c>
      <c r="L13" s="227">
        <v>0</v>
      </c>
      <c r="M13" s="281">
        <v>45000</v>
      </c>
      <c r="Q13" s="150"/>
    </row>
    <row r="14" spans="1:17" x14ac:dyDescent="0.25">
      <c r="A14" s="156"/>
      <c r="B14" s="157"/>
      <c r="C14" s="157"/>
      <c r="D14" s="225"/>
      <c r="E14" s="226"/>
      <c r="F14" s="226"/>
      <c r="G14" s="227"/>
      <c r="H14" s="223"/>
      <c r="I14" s="227"/>
      <c r="J14" s="226"/>
      <c r="K14" s="226"/>
      <c r="L14" s="227"/>
      <c r="M14" s="224"/>
    </row>
    <row r="15" spans="1:17" x14ac:dyDescent="0.25">
      <c r="A15" s="147" t="s">
        <v>10</v>
      </c>
      <c r="B15" s="148"/>
      <c r="C15" s="148"/>
      <c r="D15" s="228">
        <f>SUM(D17:D30)</f>
        <v>338344</v>
      </c>
      <c r="E15" s="229">
        <f>SUM(E16:E30)</f>
        <v>3161</v>
      </c>
      <c r="F15" s="230">
        <f>SUM(F16:F16)</f>
        <v>0</v>
      </c>
      <c r="G15" s="229">
        <f>SUM(G16:G30)</f>
        <v>341505</v>
      </c>
      <c r="H15" s="231"/>
      <c r="I15" s="232">
        <f>SUM(I16:I30)</f>
        <v>205744</v>
      </c>
      <c r="J15" s="230">
        <f>SUM(J17:J30)</f>
        <v>66450</v>
      </c>
      <c r="K15" s="230">
        <v>0</v>
      </c>
      <c r="L15" s="230">
        <f>SUM(I15:K15)</f>
        <v>272194</v>
      </c>
      <c r="M15" s="233">
        <f>G15-L15</f>
        <v>69311</v>
      </c>
    </row>
    <row r="16" spans="1:17" x14ac:dyDescent="0.25">
      <c r="A16" s="149"/>
      <c r="B16" s="148"/>
      <c r="C16" s="148"/>
      <c r="D16" s="234"/>
      <c r="E16" s="235"/>
      <c r="F16" s="235"/>
      <c r="G16" s="236"/>
      <c r="H16" s="237"/>
      <c r="I16" s="236"/>
      <c r="J16" s="235"/>
      <c r="K16" s="235"/>
      <c r="L16" s="236"/>
      <c r="M16" s="238"/>
    </row>
    <row r="17" spans="1:17" x14ac:dyDescent="0.25">
      <c r="A17" s="149"/>
      <c r="B17" s="148"/>
      <c r="C17" s="148"/>
      <c r="D17" s="234"/>
      <c r="E17" s="235"/>
      <c r="F17" s="235"/>
      <c r="G17" s="236"/>
      <c r="H17" s="237"/>
      <c r="I17" s="236"/>
      <c r="J17" s="235"/>
      <c r="K17" s="235"/>
      <c r="L17" s="236"/>
      <c r="M17" s="238"/>
      <c r="N17" s="151"/>
    </row>
    <row r="18" spans="1:17" x14ac:dyDescent="0.25">
      <c r="A18" s="149" t="s">
        <v>190</v>
      </c>
      <c r="B18" s="148"/>
      <c r="C18" s="148"/>
      <c r="D18" s="283">
        <v>19725</v>
      </c>
      <c r="E18" s="235">
        <v>0</v>
      </c>
      <c r="F18" s="235">
        <v>0</v>
      </c>
      <c r="G18" s="285">
        <f>+D18+E18-F18</f>
        <v>19725</v>
      </c>
      <c r="H18" s="237"/>
      <c r="I18" s="236">
        <v>16013</v>
      </c>
      <c r="J18" s="288">
        <v>3196</v>
      </c>
      <c r="K18" s="235">
        <v>0</v>
      </c>
      <c r="L18" s="236">
        <f>+I18+J18</f>
        <v>19209</v>
      </c>
      <c r="M18" s="238">
        <f>+G18-L18</f>
        <v>516</v>
      </c>
      <c r="N18" s="151"/>
    </row>
    <row r="19" spans="1:17" x14ac:dyDescent="0.25">
      <c r="A19" s="149"/>
      <c r="B19" s="148"/>
      <c r="C19" s="148"/>
      <c r="D19" s="283"/>
      <c r="E19" s="235"/>
      <c r="F19" s="235"/>
      <c r="G19" s="236"/>
      <c r="H19" s="237"/>
      <c r="I19" s="236"/>
      <c r="J19" s="235"/>
      <c r="K19" s="235"/>
      <c r="L19" s="236"/>
      <c r="M19" s="238"/>
      <c r="N19" s="151"/>
    </row>
    <row r="20" spans="1:17" x14ac:dyDescent="0.25">
      <c r="A20" s="149" t="s">
        <v>191</v>
      </c>
      <c r="B20" s="148"/>
      <c r="C20" s="148"/>
      <c r="D20" s="283">
        <v>16668</v>
      </c>
      <c r="E20" s="235">
        <v>0</v>
      </c>
      <c r="F20" s="235">
        <v>0</v>
      </c>
      <c r="G20" s="285">
        <f>+D20+E20-F20</f>
        <v>16668</v>
      </c>
      <c r="H20" s="237"/>
      <c r="I20" s="236">
        <v>14670</v>
      </c>
      <c r="J20" s="288">
        <v>1998</v>
      </c>
      <c r="K20" s="235">
        <v>0</v>
      </c>
      <c r="L20" s="236">
        <f>+I20+J20</f>
        <v>16668</v>
      </c>
      <c r="M20" s="238">
        <f>+G20-L20</f>
        <v>0</v>
      </c>
      <c r="N20" s="151"/>
    </row>
    <row r="21" spans="1:17" x14ac:dyDescent="0.25">
      <c r="A21" s="149"/>
      <c r="B21" s="148"/>
      <c r="C21" s="148"/>
      <c r="D21" s="283"/>
      <c r="E21" s="235"/>
      <c r="F21" s="235"/>
      <c r="G21" s="236"/>
      <c r="H21" s="237"/>
      <c r="I21" s="236"/>
      <c r="J21" s="235"/>
      <c r="K21" s="235"/>
      <c r="L21" s="236"/>
      <c r="M21" s="238"/>
      <c r="N21" s="151"/>
    </row>
    <row r="22" spans="1:17" x14ac:dyDescent="0.25">
      <c r="A22" s="156" t="s">
        <v>348</v>
      </c>
      <c r="B22" s="157"/>
      <c r="C22" s="157"/>
      <c r="D22" s="284">
        <v>5000</v>
      </c>
      <c r="E22" s="226">
        <v>0</v>
      </c>
      <c r="F22" s="226">
        <v>0</v>
      </c>
      <c r="G22" s="286">
        <v>5000</v>
      </c>
      <c r="H22" s="223"/>
      <c r="I22" s="227">
        <v>1000</v>
      </c>
      <c r="J22" s="289">
        <v>1000</v>
      </c>
      <c r="K22" s="226">
        <v>0</v>
      </c>
      <c r="L22" s="227">
        <f>+I22+J22</f>
        <v>2000</v>
      </c>
      <c r="M22" s="238">
        <f>+G22-L22</f>
        <v>3000</v>
      </c>
      <c r="Q22" s="150"/>
    </row>
    <row r="23" spans="1:17" x14ac:dyDescent="0.25">
      <c r="A23" s="149"/>
      <c r="B23" s="148"/>
      <c r="C23" s="148"/>
      <c r="D23" s="283"/>
      <c r="E23" s="235"/>
      <c r="F23" s="235"/>
      <c r="G23" s="236"/>
      <c r="H23" s="237"/>
      <c r="I23" s="236"/>
      <c r="J23" s="235"/>
      <c r="K23" s="235"/>
      <c r="L23" s="236"/>
      <c r="M23" s="238"/>
      <c r="N23" s="151"/>
    </row>
    <row r="24" spans="1:17" x14ac:dyDescent="0.25">
      <c r="A24" s="149" t="s">
        <v>192</v>
      </c>
      <c r="B24" s="148"/>
      <c r="C24" s="148"/>
      <c r="D24" s="283">
        <v>12773</v>
      </c>
      <c r="E24" s="235">
        <v>0</v>
      </c>
      <c r="F24" s="235">
        <v>0</v>
      </c>
      <c r="G24" s="285">
        <f>+D24+E24-F24</f>
        <v>12773</v>
      </c>
      <c r="H24" s="237"/>
      <c r="I24" s="236">
        <v>5045</v>
      </c>
      <c r="J24" s="288">
        <v>2637</v>
      </c>
      <c r="K24" s="235">
        <v>0</v>
      </c>
      <c r="L24" s="236">
        <f>+I24+J24</f>
        <v>7682</v>
      </c>
      <c r="M24" s="238">
        <f>+G24-L24</f>
        <v>5091</v>
      </c>
      <c r="N24" s="151"/>
    </row>
    <row r="25" spans="1:17" x14ac:dyDescent="0.25">
      <c r="A25" s="149"/>
      <c r="B25" s="148"/>
      <c r="C25" s="148"/>
      <c r="D25" s="283"/>
      <c r="E25" s="235"/>
      <c r="F25" s="235"/>
      <c r="G25" s="236"/>
      <c r="H25" s="237"/>
      <c r="I25" s="236"/>
      <c r="J25" s="235"/>
      <c r="K25" s="235"/>
      <c r="L25" s="236"/>
      <c r="M25" s="238"/>
      <c r="N25" s="151"/>
    </row>
    <row r="26" spans="1:17" x14ac:dyDescent="0.25">
      <c r="A26" s="149" t="s">
        <v>349</v>
      </c>
      <c r="B26" s="148"/>
      <c r="C26" s="148"/>
      <c r="D26" s="283">
        <v>4323</v>
      </c>
      <c r="E26" s="235">
        <v>0</v>
      </c>
      <c r="F26" s="235">
        <v>0</v>
      </c>
      <c r="G26" s="285">
        <f>+D26+E26-F26</f>
        <v>4323</v>
      </c>
      <c r="H26" s="237"/>
      <c r="I26" s="236">
        <v>1500</v>
      </c>
      <c r="J26" s="288">
        <v>797</v>
      </c>
      <c r="K26" s="235">
        <v>0</v>
      </c>
      <c r="L26" s="236">
        <f>+I26+J26</f>
        <v>2297</v>
      </c>
      <c r="M26" s="238">
        <f t="shared" ref="M26:M28" si="0">+G26-L26</f>
        <v>2026</v>
      </c>
      <c r="N26" s="151"/>
    </row>
    <row r="27" spans="1:17" x14ac:dyDescent="0.25">
      <c r="A27" s="149"/>
      <c r="B27" s="148"/>
      <c r="C27" s="148"/>
      <c r="D27" s="283"/>
      <c r="E27" s="235"/>
      <c r="F27" s="235"/>
      <c r="G27" s="236"/>
      <c r="H27" s="237"/>
      <c r="I27" s="236"/>
      <c r="J27" s="235"/>
      <c r="K27" s="235"/>
      <c r="L27" s="236"/>
      <c r="M27" s="238"/>
      <c r="N27" s="151"/>
    </row>
    <row r="28" spans="1:17" x14ac:dyDescent="0.25">
      <c r="A28" s="149" t="s">
        <v>350</v>
      </c>
      <c r="B28" s="148"/>
      <c r="C28" s="148"/>
      <c r="D28" s="283">
        <v>4514</v>
      </c>
      <c r="E28" s="235">
        <f>+G28-D28</f>
        <v>1933</v>
      </c>
      <c r="F28" s="235">
        <v>0</v>
      </c>
      <c r="G28" s="285">
        <v>6447</v>
      </c>
      <c r="H28" s="237"/>
      <c r="I28" s="236">
        <v>645</v>
      </c>
      <c r="J28" s="288">
        <v>1672</v>
      </c>
      <c r="K28" s="235">
        <v>0</v>
      </c>
      <c r="L28" s="236">
        <f>+I28+J28</f>
        <v>2317</v>
      </c>
      <c r="M28" s="238">
        <f t="shared" si="0"/>
        <v>4130</v>
      </c>
      <c r="N28" s="151"/>
    </row>
    <row r="29" spans="1:17" x14ac:dyDescent="0.25">
      <c r="A29" s="168"/>
      <c r="B29" s="167"/>
      <c r="C29" s="167"/>
      <c r="D29" s="283"/>
      <c r="E29" s="235"/>
      <c r="F29" s="235"/>
      <c r="G29" s="236"/>
      <c r="H29" s="237"/>
      <c r="I29" s="236"/>
      <c r="J29" s="235"/>
      <c r="K29" s="235"/>
      <c r="L29" s="236"/>
      <c r="M29" s="238"/>
    </row>
    <row r="30" spans="1:17" ht="15.75" thickBot="1" x14ac:dyDescent="0.3">
      <c r="A30" s="149" t="s">
        <v>201</v>
      </c>
      <c r="B30" s="148"/>
      <c r="C30" s="148"/>
      <c r="D30" s="283">
        <v>275341</v>
      </c>
      <c r="E30" s="235">
        <f>+G30-D30</f>
        <v>1228</v>
      </c>
      <c r="F30" s="235"/>
      <c r="G30" s="285">
        <v>276569</v>
      </c>
      <c r="H30" s="237"/>
      <c r="I30" s="239">
        <v>166871</v>
      </c>
      <c r="J30" s="287">
        <v>55150</v>
      </c>
      <c r="K30" s="240">
        <v>0</v>
      </c>
      <c r="L30" s="236">
        <f>+I30+J30</f>
        <v>222021</v>
      </c>
      <c r="M30" s="238">
        <f>+G30-L30</f>
        <v>54548</v>
      </c>
      <c r="N30" s="151"/>
    </row>
    <row r="31" spans="1:17" ht="16.5" thickTop="1" thickBot="1" x14ac:dyDescent="0.3">
      <c r="A31" s="152"/>
      <c r="B31" s="153"/>
      <c r="C31" s="154"/>
      <c r="D31" s="241">
        <f>+D15+D11</f>
        <v>383344</v>
      </c>
      <c r="E31" s="242">
        <f>+E15+E11</f>
        <v>3161</v>
      </c>
      <c r="F31" s="242">
        <v>0</v>
      </c>
      <c r="G31" s="243">
        <f>+G15+G11</f>
        <v>386505</v>
      </c>
      <c r="H31" s="244"/>
      <c r="I31" s="241">
        <f>+I15</f>
        <v>205744</v>
      </c>
      <c r="J31" s="242">
        <f>+J15</f>
        <v>66450</v>
      </c>
      <c r="K31" s="242">
        <v>0</v>
      </c>
      <c r="L31" s="242">
        <f>+L15</f>
        <v>272194</v>
      </c>
      <c r="M31" s="244">
        <f>+M15+M11</f>
        <v>114311</v>
      </c>
    </row>
    <row r="32" spans="1:17" ht="15.75" thickTop="1" x14ac:dyDescent="0.25"/>
    <row r="33" spans="4:9" x14ac:dyDescent="0.25">
      <c r="D33" s="155"/>
      <c r="E33" s="155"/>
      <c r="F33" s="155"/>
      <c r="I33" s="155"/>
    </row>
  </sheetData>
  <mergeCells count="5">
    <mergeCell ref="A1:M1"/>
    <mergeCell ref="A3:M3"/>
    <mergeCell ref="A5:M5"/>
    <mergeCell ref="D8:G8"/>
    <mergeCell ref="I8:L8"/>
  </mergeCells>
  <pageMargins left="0.47244094488188981" right="0.31496062992125984" top="0.74803149606299213" bottom="0.74803149606299213" header="0.31496062992125984" footer="0.31496062992125984"/>
  <pageSetup paperSize="9" scale="68" orientation="portrait" r:id="rId1"/>
  <headerFooter>
    <oddHeader>&amp;RANNEXE 2</oddHeader>
  </headerFooter>
  <ignoredErrors>
    <ignoredError sqref="F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8</vt:i4>
      </vt:variant>
    </vt:vector>
  </HeadingPairs>
  <TitlesOfParts>
    <vt:vector size="19" baseType="lpstr">
      <vt:lpstr>PAGE DE GARDE 1</vt:lpstr>
      <vt:lpstr>PAGE DE GARDE 2</vt:lpstr>
      <vt:lpstr> BALANCE 2021</vt:lpstr>
      <vt:lpstr>TCD</vt:lpstr>
      <vt:lpstr>ACTIF</vt:lpstr>
      <vt:lpstr>PASSIF</vt:lpstr>
      <vt:lpstr>RT</vt:lpstr>
      <vt:lpstr>FLUX</vt:lpstr>
      <vt:lpstr>SIG </vt:lpstr>
      <vt:lpstr>RESULTAT FISCAL</vt:lpstr>
      <vt:lpstr>TAB AMT</vt:lpstr>
      <vt:lpstr>' BALANCE 2021'!_Hlk88472928</vt:lpstr>
      <vt:lpstr>' BALANCE 2021'!_Hlk88473137</vt:lpstr>
      <vt:lpstr>ACTIF!Zone_d_impression</vt:lpstr>
      <vt:lpstr>FLUX!Zone_d_impression</vt:lpstr>
      <vt:lpstr>'PAGE DE GARDE 1'!Zone_d_impression</vt:lpstr>
      <vt:lpstr>'PAGE DE GARDE 2'!Zone_d_impression</vt:lpstr>
      <vt:lpstr>'RESULTAT FISCAL'!Zone_d_impression</vt:lpstr>
      <vt:lpstr>'SIG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nizarc</dc:creator>
  <cp:lastModifiedBy>Syrine BASSOUMI</cp:lastModifiedBy>
  <cp:lastPrinted>2026-03-23T11:06:41Z</cp:lastPrinted>
  <dcterms:created xsi:type="dcterms:W3CDTF">2009-03-11T11:00:26Z</dcterms:created>
  <dcterms:modified xsi:type="dcterms:W3CDTF">2026-03-30T14:52:16Z</dcterms:modified>
</cp:coreProperties>
</file>